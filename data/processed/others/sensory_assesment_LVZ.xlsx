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univpr-my.sharepoint.com/personal/davide_rovelli_unipr_it/Documents/PhD/Projects/Coffee_leaf_infuses/data/processed/"/>
    </mc:Choice>
  </mc:AlternateContent>
  <xr:revisionPtr revIDLastSave="1756" documentId="8_{545AA406-3758-4075-A091-C1B2B0CBACA3}" xr6:coauthVersionLast="47" xr6:coauthVersionMax="47" xr10:uidLastSave="{73A0A8AD-3CF9-42A8-8764-CB72DAA9FA3A}"/>
  <bookViews>
    <workbookView xWindow="-110" yWindow="-110" windowWidth="25820" windowHeight="15500" tabRatio="786" firstSheet="2" activeTab="5" xr2:uid="{22BA334E-0A9E-4C58-BA28-CEDB194E4F29}"/>
  </bookViews>
  <sheets>
    <sheet name="Samples CODE" sheetId="1" r:id="rId1"/>
    <sheet name="ANALISI VOLATILI" sheetId="14" r:id="rId2"/>
    <sheet name="Piano Sperimentale" sheetId="2" r:id="rId3"/>
    <sheet name="HOT" sheetId="3" r:id="rId4"/>
    <sheet name="Foglio1" sheetId="13" r:id="rId5"/>
    <sheet name="Assaggi_HOT" sheetId="8" r:id="rId6"/>
    <sheet name="DataSet_HOT" sheetId="11" r:id="rId7"/>
    <sheet name="DataSet_HOT_NS" sheetId="5" r:id="rId8"/>
    <sheet name="Data_selected_HOT" sheetId="15" r:id="rId9"/>
    <sheet name="DataSet_HOT_S" sheetId="9" r:id="rId10"/>
    <sheet name="COLD" sheetId="4" r:id="rId11"/>
    <sheet name="Assaggi_COLD" sheetId="7" r:id="rId12"/>
    <sheet name="DataSet_COLD" sheetId="12" r:id="rId13"/>
    <sheet name="DataSet_COLD_NS" sheetId="6" r:id="rId14"/>
    <sheet name="DataSet_COLD_S" sheetId="10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4" l="1"/>
  <c r="J10" i="14" s="1"/>
  <c r="J11" i="14" s="1"/>
  <c r="I9" i="14"/>
  <c r="I10" i="14" s="1"/>
  <c r="I11" i="14" s="1"/>
  <c r="L10" i="14" s="1"/>
  <c r="I8" i="14"/>
  <c r="C87" i="13"/>
  <c r="D88" i="13"/>
  <c r="E88" i="13"/>
  <c r="F88" i="13"/>
  <c r="G88" i="13"/>
  <c r="H88" i="13"/>
  <c r="I88" i="13"/>
  <c r="J88" i="13"/>
  <c r="C88" i="13"/>
  <c r="D87" i="13"/>
  <c r="E87" i="13"/>
  <c r="F87" i="13"/>
  <c r="G87" i="13"/>
  <c r="H87" i="13"/>
  <c r="I87" i="13"/>
  <c r="J87" i="13"/>
  <c r="G7" i="2"/>
</calcChain>
</file>

<file path=xl/sharedStrings.xml><?xml version="1.0" encoding="utf-8"?>
<sst xmlns="http://schemas.openxmlformats.org/spreadsheetml/2006/main" count="1651" uniqueCount="346">
  <si>
    <t>Smaples</t>
  </si>
  <si>
    <t>CODE</t>
  </si>
  <si>
    <t>Mane Robusta</t>
  </si>
  <si>
    <t>Sugar weight (g)</t>
  </si>
  <si>
    <t>MA-NS</t>
  </si>
  <si>
    <t>MA-S</t>
  </si>
  <si>
    <t>WI-NS</t>
  </si>
  <si>
    <t>WI-S</t>
  </si>
  <si>
    <t>GT-NS</t>
  </si>
  <si>
    <t>GT-S</t>
  </si>
  <si>
    <t>BT-S</t>
  </si>
  <si>
    <t>BT-NS</t>
  </si>
  <si>
    <t>Green Tea 202 - Gunpowder</t>
  </si>
  <si>
    <t>Wize Leaf</t>
  </si>
  <si>
    <t>Black Tea 101 - Ceylon</t>
  </si>
  <si>
    <t>profilo di consenso, scala 1-5</t>
  </si>
  <si>
    <t>2g in 250 ml acqua calda, infusione per 5 minuti (8g in 1L acqua)</t>
  </si>
  <si>
    <t>Hot:</t>
  </si>
  <si>
    <t>infusione a caldo (5 minuti)</t>
  </si>
  <si>
    <t>formula modificabile in base alla dose da preparare:</t>
  </si>
  <si>
    <t>g foglie</t>
  </si>
  <si>
    <t>ml acqua</t>
  </si>
  <si>
    <t>dose</t>
  </si>
  <si>
    <t>Regolamento novel food:</t>
  </si>
  <si>
    <t>20g foglie in 1 L acqua</t>
  </si>
  <si>
    <t>x</t>
  </si>
  <si>
    <t xml:space="preserve">2g in 100 ml </t>
  </si>
  <si>
    <t>x=</t>
  </si>
  <si>
    <t>5g in 250 ml</t>
  </si>
  <si>
    <t>Lavazza:</t>
  </si>
  <si>
    <t>8g foglie in 1L acqua</t>
  </si>
  <si>
    <t>0,8g in 100 ml</t>
  </si>
  <si>
    <t>2g in 250 ml</t>
  </si>
  <si>
    <t xml:space="preserve">Cold: </t>
  </si>
  <si>
    <t xml:space="preserve">infusione a caldo (5 minuti) poi lasciato raffreddare in frigo </t>
  </si>
  <si>
    <t>preparare la mattina per il pomeriggio oppure pomeriggio per mattina dopo</t>
  </si>
  <si>
    <t>Quantità per ogni campione:</t>
  </si>
  <si>
    <t>2g caldo</t>
  </si>
  <si>
    <t>2g caldo + zucchero</t>
  </si>
  <si>
    <t>zucchero: 35g in 1000 ml infuso --&gt; 8,75g in 250 ml</t>
  </si>
  <si>
    <t>2g freddo</t>
  </si>
  <si>
    <t>2g freddo + zucchero</t>
  </si>
  <si>
    <t>8g TOT</t>
  </si>
  <si>
    <t>num. campioni:</t>
  </si>
  <si>
    <t xml:space="preserve">A caldo puri </t>
  </si>
  <si>
    <t xml:space="preserve">A caldo zuccherati </t>
  </si>
  <si>
    <t>A freddo puri</t>
  </si>
  <si>
    <t xml:space="preserve">A freddo zuccherati </t>
  </si>
  <si>
    <t>Tot. 8 sessioni + 2 allineamneto caldo/freddo</t>
  </si>
  <si>
    <t>Andeloro, Spadafora, Fornero, Quinti, Pizzimenti, Bramati e Barbero</t>
  </si>
  <si>
    <t>allineamento su tè verde</t>
  </si>
  <si>
    <t xml:space="preserve">profilo di consenso con scala 1-5 </t>
  </si>
  <si>
    <t>assaggi</t>
  </si>
  <si>
    <t>w 38</t>
  </si>
  <si>
    <t>no</t>
  </si>
  <si>
    <t>preparazione bustine 4 x campione (compresi campioni allineamento) + prove dose zucchero (1 bustina?)</t>
  </si>
  <si>
    <t>w 39</t>
  </si>
  <si>
    <t>allineamento caldo (tè + foglie Wize Nicaragua e Mane Sri Lanka) puro+zucchero</t>
  </si>
  <si>
    <t>3 campioni caldo, puro + zucchero</t>
  </si>
  <si>
    <t>w 40 (evento merc-giov)</t>
  </si>
  <si>
    <t>w 41</t>
  </si>
  <si>
    <t>w41</t>
  </si>
  <si>
    <t>w 42</t>
  </si>
  <si>
    <t>allineamento freddo (tè + foglie Wize Nicaragua e Mane Sri Lanka)</t>
  </si>
  <si>
    <t>3 campioni freddo, puro + zucchero</t>
  </si>
  <si>
    <t>w 43</t>
  </si>
  <si>
    <t>w 44</t>
  </si>
  <si>
    <t>w 45</t>
  </si>
  <si>
    <t>analisi dati - PCA</t>
  </si>
  <si>
    <t>w 46</t>
  </si>
  <si>
    <t xml:space="preserve">tenere come margine </t>
  </si>
  <si>
    <t>analisi volatili fatte su campioni a Parma</t>
  </si>
  <si>
    <t>si possono fare anche altre analisi quantitative</t>
  </si>
  <si>
    <t>L-G-NS</t>
  </si>
  <si>
    <t>L-G-S</t>
  </si>
  <si>
    <t>M-EC-NS</t>
  </si>
  <si>
    <t>M-EC-S</t>
  </si>
  <si>
    <t>N-GE-WS-NS</t>
  </si>
  <si>
    <t>N-GE-WS-S</t>
  </si>
  <si>
    <t>N-GE-S-NS</t>
  </si>
  <si>
    <t>N-GE-S-S</t>
  </si>
  <si>
    <t>M-H1-NS</t>
  </si>
  <si>
    <t>M-H1-S</t>
  </si>
  <si>
    <t>N-H1-WS-NS</t>
  </si>
  <si>
    <t>N-H1-WS-S</t>
  </si>
  <si>
    <t>N-H1-S-NS</t>
  </si>
  <si>
    <t>N-H1-S-S</t>
  </si>
  <si>
    <t>L-CR-NS</t>
  </si>
  <si>
    <t>L-CR-S</t>
  </si>
  <si>
    <t>M-T5-NS</t>
  </si>
  <si>
    <t>M-T5-S</t>
  </si>
  <si>
    <t>M-MAR-NS</t>
  </si>
  <si>
    <t>M-MAR-S</t>
  </si>
  <si>
    <t>N-MAR-WS-NS</t>
  </si>
  <si>
    <t>N-MAR-WS-S</t>
  </si>
  <si>
    <t>N-MAR-S-S</t>
  </si>
  <si>
    <t>Laos / Geisha</t>
  </si>
  <si>
    <t xml:space="preserve">Mexico / EC17 </t>
  </si>
  <si>
    <t>Nicaragua / Geisha / WS</t>
  </si>
  <si>
    <t>Nicaragua / Geisha / S</t>
  </si>
  <si>
    <t>Mexico / H1</t>
  </si>
  <si>
    <t>Mexico / T5</t>
  </si>
  <si>
    <t>Nicaragua / H1 / WS</t>
  </si>
  <si>
    <t>Nicaragua / H1 /  S</t>
  </si>
  <si>
    <t>Laos / CR95</t>
  </si>
  <si>
    <t xml:space="preserve">Mexico / Marsellesa </t>
  </si>
  <si>
    <t>Nicaragua / Marsellesa / WS</t>
  </si>
  <si>
    <t>N-MAR-S-NS</t>
  </si>
  <si>
    <t>Nicaragua / Marsellesa / S</t>
  </si>
  <si>
    <t xml:space="preserve">HOT - Leaves weight (g) </t>
  </si>
  <si>
    <t xml:space="preserve">COLD- Leaves weight (g) </t>
  </si>
  <si>
    <t>sample</t>
  </si>
  <si>
    <t>group</t>
  </si>
  <si>
    <t>Acido</t>
  </si>
  <si>
    <t>Dolce</t>
  </si>
  <si>
    <t>Salato</t>
  </si>
  <si>
    <t>Amaro</t>
  </si>
  <si>
    <t>Astringente</t>
  </si>
  <si>
    <t>Corpo</t>
  </si>
  <si>
    <t>Laos_Geisha</t>
  </si>
  <si>
    <t xml:space="preserve">Mexico_EC17 </t>
  </si>
  <si>
    <t>Nicaragua_Geisha_WS</t>
  </si>
  <si>
    <t xml:space="preserve">Wize_Leaf </t>
  </si>
  <si>
    <t>Green_Tea</t>
  </si>
  <si>
    <t>Black_Tea</t>
  </si>
  <si>
    <t>Mane_Robusta</t>
  </si>
  <si>
    <t>O_erbaceo</t>
  </si>
  <si>
    <t>O_vegetale</t>
  </si>
  <si>
    <t>O_legno</t>
  </si>
  <si>
    <t>O_cereali</t>
  </si>
  <si>
    <t>O_floreale</t>
  </si>
  <si>
    <t>O_fruttato</t>
  </si>
  <si>
    <t>A_erbaceo</t>
  </si>
  <si>
    <t>A_vegetale</t>
  </si>
  <si>
    <t>A_legno</t>
  </si>
  <si>
    <t>A_cereali</t>
  </si>
  <si>
    <t>A_floreale</t>
  </si>
  <si>
    <t>A_fruttato</t>
  </si>
  <si>
    <t>Nicaragua_Geisha_S</t>
  </si>
  <si>
    <t>Mexico_H1</t>
  </si>
  <si>
    <t>Nicaragua_H1_WS</t>
  </si>
  <si>
    <t>Nicaragua_H1_S</t>
  </si>
  <si>
    <t>Laos_CR95</t>
  </si>
  <si>
    <t>Mexico_T5</t>
  </si>
  <si>
    <t>Nicaragua_Marsellesa_WS</t>
  </si>
  <si>
    <t>Mexico_Marsellesa</t>
  </si>
  <si>
    <t>Nicaragua_Marsellesa_S</t>
  </si>
  <si>
    <t>°Bx- COLD</t>
  </si>
  <si>
    <t>pH - COLD</t>
  </si>
  <si>
    <t>pH - HOT</t>
  </si>
  <si>
    <t>°Bx- HOT</t>
  </si>
  <si>
    <t>T</t>
  </si>
  <si>
    <t>O_Erbaceo</t>
  </si>
  <si>
    <t>O_Vegetale</t>
  </si>
  <si>
    <t>O_Legno</t>
  </si>
  <si>
    <t>O_Cereali</t>
  </si>
  <si>
    <t>O_Floreale</t>
  </si>
  <si>
    <t>O_Fruttato</t>
  </si>
  <si>
    <t>A_Erbaceo</t>
  </si>
  <si>
    <t>A_Vegetale</t>
  </si>
  <si>
    <t>A_Legno</t>
  </si>
  <si>
    <t>A_Cerali</t>
  </si>
  <si>
    <t>A_Floreale</t>
  </si>
  <si>
    <t>A_Fruttato</t>
  </si>
  <si>
    <t>Campione</t>
  </si>
  <si>
    <t>1S</t>
  </si>
  <si>
    <t>2S</t>
  </si>
  <si>
    <t>3S</t>
  </si>
  <si>
    <t>4s</t>
  </si>
  <si>
    <t>A</t>
  </si>
  <si>
    <t>A + zucchero</t>
  </si>
  <si>
    <t>B</t>
  </si>
  <si>
    <t>B +  zucchero</t>
  </si>
  <si>
    <t>C1</t>
  </si>
  <si>
    <t>C1 + zucchero</t>
  </si>
  <si>
    <t>C2</t>
  </si>
  <si>
    <t>C2 + zucchero</t>
  </si>
  <si>
    <t>D</t>
  </si>
  <si>
    <t>D + zucchero</t>
  </si>
  <si>
    <t>E1</t>
  </si>
  <si>
    <t>E1 + zucchero</t>
  </si>
  <si>
    <t>E2</t>
  </si>
  <si>
    <t>E2 + zucchero</t>
  </si>
  <si>
    <t>F</t>
  </si>
  <si>
    <t>F + zucchero</t>
  </si>
  <si>
    <t>G</t>
  </si>
  <si>
    <t>G + zucchero</t>
  </si>
  <si>
    <t>H</t>
  </si>
  <si>
    <t>H + zucchero</t>
  </si>
  <si>
    <t>I1</t>
  </si>
  <si>
    <t>I1 + zucchero</t>
  </si>
  <si>
    <t>I2</t>
  </si>
  <si>
    <t>I2 + zucchero</t>
  </si>
  <si>
    <t>O.erbaceo</t>
  </si>
  <si>
    <t>O.vegetale</t>
  </si>
  <si>
    <t>O.legno</t>
  </si>
  <si>
    <t>O.floreale</t>
  </si>
  <si>
    <t>O.cereali tostati</t>
  </si>
  <si>
    <t>O.fruttato</t>
  </si>
  <si>
    <t>A.erbaceo</t>
  </si>
  <si>
    <t>A.vegetale</t>
  </si>
  <si>
    <t>A.legno</t>
  </si>
  <si>
    <t>A.floreale</t>
  </si>
  <si>
    <t>A.cereali tostati</t>
  </si>
  <si>
    <t>A.fruttato</t>
  </si>
  <si>
    <t>Commenti</t>
  </si>
  <si>
    <t>meno aromatico che a caldo</t>
  </si>
  <si>
    <t>zucchero copre note, rimane solo floreale</t>
  </si>
  <si>
    <t>biscotto tostato, caramello</t>
  </si>
  <si>
    <t>miele</t>
  </si>
  <si>
    <t>fagiolino, piselli. Non sgradevole</t>
  </si>
  <si>
    <t>patata, buccia</t>
  </si>
  <si>
    <t>solo floreale</t>
  </si>
  <si>
    <r>
      <t xml:space="preserve">forte odore di erba fresca, percepito acqua di cozze. Nel complesso </t>
    </r>
    <r>
      <rPr>
        <b/>
        <sz val="11"/>
        <color rgb="FF000000"/>
        <rFont val="Calibri"/>
        <family val="2"/>
      </rPr>
      <t>non gradevole</t>
    </r>
  </si>
  <si>
    <t xml:space="preserve">Aroma di camomilla, odore vegetale copreto da zucchero. Da caldo percepito più dolce rispetto a freddo. </t>
  </si>
  <si>
    <r>
      <t xml:space="preserve">Odore di spinaci però leggermente più fresco ma </t>
    </r>
    <r>
      <rPr>
        <b/>
        <sz val="11"/>
        <color rgb="FF000000"/>
        <rFont val="Calibri"/>
        <family val="2"/>
      </rPr>
      <t>non gradevole</t>
    </r>
    <r>
      <rPr>
        <sz val="11"/>
        <color rgb="FF000000"/>
        <rFont val="Calibri"/>
        <family val="2"/>
      </rPr>
      <t>, percepita acqua delle cozze vegetale. Sapore di frutta macerata.  Odore sgradevole mentre sapore gradevole</t>
    </r>
  </si>
  <si>
    <r>
      <t>Gradevole</t>
    </r>
    <r>
      <rPr>
        <sz val="11"/>
        <color rgb="FF000000"/>
        <rFont val="Calibri"/>
        <family val="2"/>
      </rPr>
      <t>. Forte aroma di frutta gialla (albicocca). Nel complesso gradevole</t>
    </r>
  </si>
  <si>
    <t>odore e aroma di  Speziato (noce moscata, di tabacco e di cacao. Odore di frutta secca (nutty) Complesso !</t>
  </si>
  <si>
    <t>Percepito molto il cacao, cioccolato e secondariamente il tabacco. Percepita nota di nutty ma minore rispetto al campione precedente. più equilibrato del precedente. Molto gradevole. Odore di cuoio. Migliore dei 6 presentati</t>
  </si>
  <si>
    <t xml:space="preserve">odore acqua di pesce/cozza e ammoniaca. Non gradevole. </t>
  </si>
  <si>
    <t>stesse note del plain. Non gradevole. Umami/salsa soia</t>
  </si>
  <si>
    <t>complessivamente meno intenso, sempre difficile da punteggiare x nota esterna mare</t>
  </si>
  <si>
    <t>stesse note del plain ma prevale il dolce</t>
  </si>
  <si>
    <t>nota di legume</t>
  </si>
  <si>
    <t>nota mare/pesce e umami</t>
  </si>
  <si>
    <t>nota mare/pesce maggiore</t>
  </si>
  <si>
    <t>nota sgradevole, pesce/mare copre le altre note</t>
  </si>
  <si>
    <t>acqua di mare con zucchero</t>
  </si>
  <si>
    <t>no nota mare, meglio dei precedenti</t>
  </si>
  <si>
    <t>ritorna nota mare all'odore</t>
  </si>
  <si>
    <t>nota mare/pesce presente. Poco caratterizzato odore/aroma. Aroma tabacco nel retrogusto</t>
  </si>
  <si>
    <t>meno nota mare/pesce</t>
  </si>
  <si>
    <t>più gradevole dei precedenti</t>
  </si>
  <si>
    <t>secco</t>
  </si>
  <si>
    <t>nota miele. Gradevole</t>
  </si>
  <si>
    <t>Fornitore</t>
  </si>
  <si>
    <t>tè verde</t>
  </si>
  <si>
    <t>tè nero</t>
  </si>
  <si>
    <t>Mane</t>
  </si>
  <si>
    <t>Wize</t>
  </si>
  <si>
    <t>Ofi</t>
  </si>
  <si>
    <t>Ecom</t>
  </si>
  <si>
    <t>Lotto</t>
  </si>
  <si>
    <t>Categoria genetica</t>
  </si>
  <si>
    <t>Ethiopian Landrace</t>
  </si>
  <si>
    <t>F1 Hybrid</t>
  </si>
  <si>
    <t>Introgressed</t>
  </si>
  <si>
    <t>Specie</t>
  </si>
  <si>
    <t>Robusta</t>
  </si>
  <si>
    <t>Arabica</t>
  </si>
  <si>
    <t>Varietà</t>
  </si>
  <si>
    <t>Geisha</t>
  </si>
  <si>
    <t>EC17</t>
  </si>
  <si>
    <t>Geisha Especial</t>
  </si>
  <si>
    <t>H1 (CentroAmericano)</t>
  </si>
  <si>
    <t>SJ133=CR95</t>
  </si>
  <si>
    <t>T5175</t>
  </si>
  <si>
    <t>Marsellesa</t>
  </si>
  <si>
    <t>Origine</t>
  </si>
  <si>
    <t>Sri Lanka</t>
  </si>
  <si>
    <t>Nicaragua</t>
  </si>
  <si>
    <t>Laos</t>
  </si>
  <si>
    <t>Mexico</t>
  </si>
  <si>
    <t>Trattamento</t>
  </si>
  <si>
    <t xml:space="preserve">Not stressed </t>
  </si>
  <si>
    <t>Stressed</t>
  </si>
  <si>
    <t>O.cereali</t>
  </si>
  <si>
    <t>A.cereali</t>
  </si>
  <si>
    <t>acidità percepibile post deglutizione</t>
  </si>
  <si>
    <t>fagiolini. Meno complesso aromaticamente. Meno persistente</t>
  </si>
  <si>
    <t>buccia di patate, patate bollite. Terroso</t>
  </si>
  <si>
    <t>più complesso aromaticamente. Coste/legumi. Buon profilo, interessante</t>
  </si>
  <si>
    <t>meglio senza zucchero</t>
  </si>
  <si>
    <t>fagiolino, camomilla indicato come floreale aroma</t>
  </si>
  <si>
    <t>sentore fieno/secco e frutti rossi/lampone</t>
  </si>
  <si>
    <t>il dolce copre il frutatto e aromaticità</t>
  </si>
  <si>
    <t>cereale/biscotto, tostato</t>
  </si>
  <si>
    <t>camomilla (verdura non gradevole)</t>
  </si>
  <si>
    <t xml:space="preserve">stecchetto liquirizia aroma gusto - dolce poca persistenza meno dolce - leggermente piu corposo </t>
  </si>
  <si>
    <t xml:space="preserve">vegetale acqua sporca odori bassi ceraloso- molto slavato- </t>
  </si>
  <si>
    <t xml:space="preserve">acqua e zucchero </t>
  </si>
  <si>
    <t>Odore fagiolino (leguminoso)</t>
  </si>
  <si>
    <t xml:space="preserve">Gusto vira patata meno fagiolini, terroso. </t>
  </si>
  <si>
    <t>colore più chiaro, meno intenso, poco gustoso. Leggero sentore di terroso (muffa)</t>
  </si>
  <si>
    <t>colore più chiaro, meno intenso, terroso (muffa) presente leggero, ma coperto dalla dolcezza</t>
  </si>
  <si>
    <t>colore più arancio. sembra camomilla. Odore intenso e persistente ma gusto non presente e amarognolo. Molto astringente anche questo.</t>
  </si>
  <si>
    <t>lo zucchero aumenta gusto camomilla, si rideuce un po' l'amaro rispetto al campione di prima</t>
  </si>
  <si>
    <t>camomilla, fagiolino (vegetale verde)</t>
  </si>
  <si>
    <t>biscotto. Piacevole</t>
  </si>
  <si>
    <t>tabacco, cicoria. Nota vegetale molto marcata, non gradevole</t>
  </si>
  <si>
    <t>poco aromatico, piatto, prevale lo zucchero</t>
  </si>
  <si>
    <t>non molto gradevole</t>
  </si>
  <si>
    <t>diventa più gradevole</t>
  </si>
  <si>
    <t>pianta/terriccio bagnato, fungo/terra</t>
  </si>
  <si>
    <t>miele punteggiato insieme al floreale</t>
  </si>
  <si>
    <t>*</t>
  </si>
  <si>
    <t>NS</t>
  </si>
  <si>
    <t>S</t>
  </si>
  <si>
    <t>NS/S</t>
  </si>
  <si>
    <t>Analisi varianza: a due fattori con replica</t>
  </si>
  <si>
    <t>RIEPILOGO</t>
  </si>
  <si>
    <t>Totale</t>
  </si>
  <si>
    <t>Conteggio</t>
  </si>
  <si>
    <t>Somma</t>
  </si>
  <si>
    <t>Media</t>
  </si>
  <si>
    <t>Varianza</t>
  </si>
  <si>
    <t>Origine della variazione</t>
  </si>
  <si>
    <t>SQ</t>
  </si>
  <si>
    <t>gdl</t>
  </si>
  <si>
    <t>MQ</t>
  </si>
  <si>
    <t>F crit</t>
  </si>
  <si>
    <t>Interazione</t>
  </si>
  <si>
    <t>In</t>
  </si>
  <si>
    <t>ANOVA</t>
  </si>
  <si>
    <t>p-value</t>
  </si>
  <si>
    <t>NS vs S</t>
  </si>
  <si>
    <t>Attributo sensoriale</t>
  </si>
  <si>
    <t>Colonna1</t>
  </si>
  <si>
    <t>Sample</t>
  </si>
  <si>
    <t>-</t>
  </si>
  <si>
    <t>N/NS</t>
  </si>
  <si>
    <t>Escluso per processo</t>
  </si>
  <si>
    <t>Min</t>
  </si>
  <si>
    <t>Max</t>
  </si>
  <si>
    <t>Samples</t>
  </si>
  <si>
    <t>Code</t>
  </si>
  <si>
    <t>Infuso Caldo</t>
  </si>
  <si>
    <t>Infuso Freddo</t>
  </si>
  <si>
    <t>Macinare</t>
  </si>
  <si>
    <t>Caldo</t>
  </si>
  <si>
    <t>Freddo</t>
  </si>
  <si>
    <t>WI</t>
  </si>
  <si>
    <t>N-GE-WS</t>
  </si>
  <si>
    <t>M-T5</t>
  </si>
  <si>
    <t>M-EC</t>
  </si>
  <si>
    <t>Min corsa singola</t>
  </si>
  <si>
    <t>Min corsa tot</t>
  </si>
  <si>
    <t>Ore</t>
  </si>
  <si>
    <t>Giorni</t>
  </si>
  <si>
    <t>MA</t>
  </si>
  <si>
    <t>MEC</t>
  </si>
  <si>
    <t>NGE</t>
  </si>
  <si>
    <t>MT5</t>
  </si>
  <si>
    <t>CALDO</t>
  </si>
  <si>
    <t>FREDDO</t>
  </si>
  <si>
    <t>Fishy_note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</si>
</sst>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18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2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right"/>
    </xf>
    <xf numFmtId="0" fontId="0" fillId="0" borderId="2" xfId="0" applyBorder="1"/>
    <xf numFmtId="0" fontId="0" fillId="3" borderId="3" xfId="0" applyFill="1" applyBorder="1"/>
    <xf numFmtId="0" fontId="4" fillId="3" borderId="3" xfId="0" applyFont="1" applyFill="1" applyBorder="1"/>
    <xf numFmtId="0" fontId="0" fillId="0" borderId="3" xfId="0" applyBorder="1"/>
    <xf numFmtId="0" fontId="0" fillId="3" borderId="0" xfId="0" applyFill="1"/>
    <xf numFmtId="0" fontId="4" fillId="3" borderId="0" xfId="0" applyFont="1" applyFill="1"/>
    <xf numFmtId="0" fontId="0" fillId="3" borderId="2" xfId="0" applyFill="1" applyBorder="1"/>
    <xf numFmtId="0" fontId="4" fillId="3" borderId="2" xfId="0" applyFont="1" applyFill="1" applyBorder="1"/>
    <xf numFmtId="0" fontId="0" fillId="4" borderId="3" xfId="0" applyFill="1" applyBorder="1"/>
    <xf numFmtId="0" fontId="4" fillId="4" borderId="3" xfId="0" applyFont="1" applyFill="1" applyBorder="1"/>
    <xf numFmtId="0" fontId="0" fillId="4" borderId="0" xfId="0" applyFill="1"/>
    <xf numFmtId="0" fontId="4" fillId="4" borderId="0" xfId="0" applyFont="1" applyFill="1"/>
    <xf numFmtId="0" fontId="0" fillId="4" borderId="2" xfId="0" applyFill="1" applyBorder="1"/>
    <xf numFmtId="0" fontId="4" fillId="4" borderId="2" xfId="0" applyFont="1" applyFill="1" applyBorder="1"/>
    <xf numFmtId="0" fontId="0" fillId="5" borderId="3" xfId="0" applyFill="1" applyBorder="1"/>
    <xf numFmtId="0" fontId="4" fillId="5" borderId="3" xfId="0" applyFont="1" applyFill="1" applyBorder="1"/>
    <xf numFmtId="0" fontId="0" fillId="5" borderId="0" xfId="0" applyFill="1"/>
    <xf numFmtId="0" fontId="4" fillId="5" borderId="0" xfId="0" applyFont="1" applyFill="1"/>
    <xf numFmtId="0" fontId="0" fillId="5" borderId="2" xfId="0" applyFill="1" applyBorder="1"/>
    <xf numFmtId="0" fontId="4" fillId="5" borderId="2" xfId="0" applyFont="1" applyFill="1" applyBorder="1"/>
    <xf numFmtId="0" fontId="0" fillId="6" borderId="3" xfId="0" applyFill="1" applyBorder="1"/>
    <xf numFmtId="0" fontId="4" fillId="6" borderId="3" xfId="0" applyFont="1" applyFill="1" applyBorder="1"/>
    <xf numFmtId="0" fontId="0" fillId="6" borderId="0" xfId="0" applyFill="1"/>
    <xf numFmtId="0" fontId="4" fillId="6" borderId="0" xfId="0" applyFont="1" applyFill="1"/>
    <xf numFmtId="0" fontId="0" fillId="6" borderId="2" xfId="0" applyFill="1" applyBorder="1"/>
    <xf numFmtId="0" fontId="4" fillId="6" borderId="2" xfId="0" applyFont="1" applyFill="1" applyBorder="1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4" xfId="0" applyFont="1" applyBorder="1"/>
    <xf numFmtId="0" fontId="2" fillId="0" borderId="5" xfId="0" applyFont="1" applyBorder="1"/>
    <xf numFmtId="0" fontId="2" fillId="7" borderId="5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4" xfId="0" applyFont="1" applyBorder="1"/>
    <xf numFmtId="0" fontId="3" fillId="10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3" fillId="10" borderId="1" xfId="0" applyFont="1" applyFill="1" applyBorder="1"/>
    <xf numFmtId="0" fontId="2" fillId="10" borderId="1" xfId="0" applyFont="1" applyFill="1" applyBorder="1"/>
    <xf numFmtId="0" fontId="2" fillId="10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2" fillId="10" borderId="6" xfId="0" applyFont="1" applyFill="1" applyBorder="1" applyAlignment="1">
      <alignment vertical="center"/>
    </xf>
    <xf numFmtId="0" fontId="3" fillId="0" borderId="1" xfId="0" applyFont="1" applyBorder="1"/>
    <xf numFmtId="0" fontId="2" fillId="11" borderId="6" xfId="0" applyFont="1" applyFill="1" applyBorder="1"/>
    <xf numFmtId="0" fontId="6" fillId="0" borderId="7" xfId="0" applyFont="1" applyBorder="1" applyAlignment="1">
      <alignment horizontal="right"/>
    </xf>
    <xf numFmtId="0" fontId="0" fillId="0" borderId="8" xfId="0" applyBorder="1"/>
    <xf numFmtId="0" fontId="7" fillId="0" borderId="9" xfId="0" applyFont="1" applyBorder="1" applyAlignment="1">
      <alignment horizontal="center"/>
    </xf>
    <xf numFmtId="0" fontId="0" fillId="12" borderId="0" xfId="0" applyFill="1"/>
    <xf numFmtId="0" fontId="2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8" fillId="0" borderId="4" xfId="0" applyFont="1" applyBorder="1"/>
    <xf numFmtId="0" fontId="9" fillId="0" borderId="4" xfId="0" applyFont="1" applyBorder="1"/>
    <xf numFmtId="0" fontId="0" fillId="13" borderId="0" xfId="0" applyFill="1"/>
    <xf numFmtId="0" fontId="10" fillId="0" borderId="0" xfId="0" applyFont="1"/>
    <xf numFmtId="0" fontId="11" fillId="0" borderId="0" xfId="0" applyFont="1"/>
    <xf numFmtId="0" fontId="4" fillId="0" borderId="3" xfId="0" applyFont="1" applyBorder="1"/>
    <xf numFmtId="0" fontId="4" fillId="0" borderId="2" xfId="0" applyFont="1" applyBorder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0" xfId="0" applyFont="1"/>
  </cellXfs>
  <cellStyles count="1">
    <cellStyle name="Normal" xfId="0" builtinId="0"/>
  </cellStyles>
  <dxfs count="4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7FF2E2-7F06-463F-AEA0-8292918B72B0}" name="Tabella1" displayName="Tabella1" ref="A1:V33" totalsRowShown="0" headerRowDxfId="46" dataDxfId="45">
  <autoFilter ref="A1:V33" xr:uid="{E47FF2E2-7F06-463F-AEA0-8292918B72B0}"/>
  <sortState xmlns:xlrd2="http://schemas.microsoft.com/office/spreadsheetml/2017/richdata2" ref="A2:V33">
    <sortCondition ref="B1:B33"/>
  </sortState>
  <tableColumns count="22">
    <tableColumn id="1" xr3:uid="{14F8A407-95D6-4FCA-9E49-A4D0DEAB664F}" name="sample" dataDxfId="44"/>
    <tableColumn id="2" xr3:uid="{4F5DDE78-825E-449D-A7A0-46F30FC0F533}" name="group" dataDxfId="43"/>
    <tableColumn id="21" xr3:uid="{7ACF5039-B3B4-439F-BFDA-0DD7EE3180E4}" name="NS/S" dataDxfId="42"/>
    <tableColumn id="3" xr3:uid="{AFEB9D6F-E37E-4FE0-893A-A4D5CF69E85D}" name="O_Erbaceo" dataDxfId="41"/>
    <tableColumn id="4" xr3:uid="{7CB4D6F9-56C5-4428-A38B-71DBF0407CB5}" name="O_Vegetale" dataDxfId="40"/>
    <tableColumn id="5" xr3:uid="{69E5F0BA-9D58-4FC6-ABB1-32C6F9451240}" name="O_Legno" dataDxfId="39"/>
    <tableColumn id="6" xr3:uid="{5941AB00-D532-43DB-80AA-127078B57521}" name="O_Cereali" dataDxfId="38"/>
    <tableColumn id="7" xr3:uid="{FB44FED3-A777-432B-9E7E-C4C0523EEBB3}" name="O_Floreale" dataDxfId="37"/>
    <tableColumn id="8" xr3:uid="{F0F814DB-DA01-4507-99B0-2613D8B6FBCF}" name="O_Fruttato" dataDxfId="36"/>
    <tableColumn id="9" xr3:uid="{3740D4ED-1218-4F78-9151-5DEE93BE3939}" name="Acido" dataDxfId="35"/>
    <tableColumn id="10" xr3:uid="{5F9C4177-15C1-463C-AA04-47C7C44EF3AC}" name="Dolce" dataDxfId="34"/>
    <tableColumn id="11" xr3:uid="{BD307522-9561-474A-8B3F-10CE9DBC45B8}" name="Salato" dataDxfId="33"/>
    <tableColumn id="12" xr3:uid="{2859DA19-337D-4364-8AF6-F403C5CCCBDB}" name="Amaro" dataDxfId="32"/>
    <tableColumn id="13" xr3:uid="{E4022FE7-E8F8-4FAC-AB25-0BC1C652CBD4}" name="Astringente" dataDxfId="31"/>
    <tableColumn id="14" xr3:uid="{CA0CA282-E3CF-4375-A837-DB491CB7A274}" name="Corpo" dataDxfId="30"/>
    <tableColumn id="15" xr3:uid="{D4014A6F-721C-4B57-90F3-3EE11ACE6745}" name="A_Erbaceo" dataDxfId="29"/>
    <tableColumn id="16" xr3:uid="{8E1CA2BD-CC10-465F-BA17-70527B78D16E}" name="A_Vegetale" dataDxfId="28"/>
    <tableColumn id="17" xr3:uid="{87C697B7-9F74-4AF0-80CC-5850BE93C6DD}" name="A_Legno" dataDxfId="27"/>
    <tableColumn id="18" xr3:uid="{823157E7-B6E7-4FB0-9300-97A1085B3148}" name="A_Cerali" dataDxfId="26"/>
    <tableColumn id="19" xr3:uid="{865F45F0-2AD1-4967-BB11-6DB22E69092B}" name="A_Floreale" dataDxfId="25"/>
    <tableColumn id="20" xr3:uid="{3A8615FC-66DE-435D-92D9-2BDEC58C5DD1}" name="A_Fruttato" dataDxfId="24"/>
    <tableColumn id="22" xr3:uid="{F9B1A680-7B77-4D66-84CF-D9A12FB623D8}" name="Colonna1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BA656E-7A80-49E6-9112-220CDBEF3781}" name="Tabella3" displayName="Tabella3" ref="A1:V33" totalsRowShown="0">
  <autoFilter ref="A1:V33" xr:uid="{0ABA656E-7A80-49E6-9112-220CDBEF3781}"/>
  <sortState xmlns:xlrd2="http://schemas.microsoft.com/office/spreadsheetml/2017/richdata2" ref="A2:V32">
    <sortCondition ref="B1:B33"/>
  </sortState>
  <tableColumns count="22">
    <tableColumn id="1" xr3:uid="{F3F23454-0765-45D1-9495-06C68FF8FA3F}" name="Sample"/>
    <tableColumn id="2" xr3:uid="{54E1293F-9DA2-4B77-83C3-EC9928E8A4A3}" name="N/NS"/>
    <tableColumn id="3" xr3:uid="{7F459101-2098-4B25-A7D6-2BBCF808F3C2}" name="O.erbaceo"/>
    <tableColumn id="4" xr3:uid="{0BC2210C-D892-4FEB-ABA0-BBFF6A94505E}" name="O.vegetale"/>
    <tableColumn id="5" xr3:uid="{7069AF44-5C22-42C3-94F4-9101F482F5AA}" name="O.legno"/>
    <tableColumn id="6" xr3:uid="{55A199AD-39AA-4190-89A3-8F751A514248}" name="O.cereali"/>
    <tableColumn id="7" xr3:uid="{50AEC43D-7CCC-4301-8581-9CD77DF5C2C4}" name="O.floreale"/>
    <tableColumn id="8" xr3:uid="{A7AEE1FE-E472-4ADE-85F9-09750093F9F9}" name="O.fruttato"/>
    <tableColumn id="9" xr3:uid="{32FCB6B3-4D7E-4A5C-A6DF-32D2354404D1}" name="Acido"/>
    <tableColumn id="10" xr3:uid="{156E6AF5-8BF9-45A9-9F09-1FEE1F39DED0}" name="Dolce"/>
    <tableColumn id="11" xr3:uid="{3CE7CF98-1E30-4323-8E3F-EDD89F07899F}" name="Salato"/>
    <tableColumn id="12" xr3:uid="{796ED26E-CC71-4315-A10C-1BB2B31473E8}" name="Amaro"/>
    <tableColumn id="13" xr3:uid="{498904E6-CD5A-45E6-B5FF-FE8DCC6EAC8B}" name="Astringente"/>
    <tableColumn id="14" xr3:uid="{772BDFC8-E35E-4A26-A8F8-9EA890B68314}" name="Corpo"/>
    <tableColumn id="15" xr3:uid="{4AB3186F-823E-46BC-BFDD-AC4C70E9077A}" name="A.erbaceo"/>
    <tableColumn id="16" xr3:uid="{D22EFCC8-C46C-4477-AB53-44478DEA947E}" name="A.vegetale"/>
    <tableColumn id="17" xr3:uid="{33FBDBA0-85A0-417E-A12E-0D41429FFEF3}" name="A.legno"/>
    <tableColumn id="18" xr3:uid="{5DD8819D-E6E1-40B6-AC16-D5C95FE660B2}" name="A.cereali"/>
    <tableColumn id="19" xr3:uid="{FF83DBB1-549B-4368-BDBF-D70A0558A167}" name="A.floreale"/>
    <tableColumn id="20" xr3:uid="{942FC198-439B-4294-97EB-656123B883B9}" name="A.fruttato"/>
    <tableColumn id="21" xr3:uid="{6D0B067F-8FA6-43A1-AD68-2667E4ACBD9F}" name="Commenti"/>
    <tableColumn id="22" xr3:uid="{A6168F9A-EB62-44AE-8B97-6029CD7188FA}" name="Colonna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1F587F-7308-459A-98CC-DD4865C6F80A}" name="Tabella2" displayName="Tabella2" ref="A1:U33" totalsRowShown="0" headerRowDxfId="22" dataDxfId="21">
  <autoFilter ref="A1:U33" xr:uid="{CD1F587F-7308-459A-98CC-DD4865C6F80A}"/>
  <sortState xmlns:xlrd2="http://schemas.microsoft.com/office/spreadsheetml/2017/richdata2" ref="A2:U33">
    <sortCondition ref="C1:C33"/>
  </sortState>
  <tableColumns count="21">
    <tableColumn id="1" xr3:uid="{2DCE654A-CFA0-4CDB-94ED-E0F86DCB9C7C}" name="sample" dataDxfId="20"/>
    <tableColumn id="2" xr3:uid="{76118F09-6FBE-4F8E-B326-89D7CCC103E4}" name="group" dataDxfId="19"/>
    <tableColumn id="21" xr3:uid="{ED689129-DF27-4B15-A482-7FE6A5820C70}" name="NS/S" dataDxfId="18"/>
    <tableColumn id="3" xr3:uid="{41595559-BB07-42EB-A664-179010DB5C52}" name="O_erbaceo" dataDxfId="17"/>
    <tableColumn id="4" xr3:uid="{3CECCEDA-A605-4FC7-A7B8-ECC2FB40E909}" name="O_vegetale" dataDxfId="16"/>
    <tableColumn id="5" xr3:uid="{B7FEE740-53D4-44EE-BBB4-875F90F0B632}" name="O_legno" dataDxfId="15"/>
    <tableColumn id="6" xr3:uid="{579C3B50-9CD0-40F1-BE75-1CE236D9D38E}" name="O_cereali" dataDxfId="14"/>
    <tableColumn id="7" xr3:uid="{98BC7201-8C19-4A00-A4C9-66383F674781}" name="O_floreale" dataDxfId="13"/>
    <tableColumn id="8" xr3:uid="{40476291-8CA9-45E9-9FE7-8353E791AE0E}" name="O_fruttato" dataDxfId="12"/>
    <tableColumn id="9" xr3:uid="{580C21F5-58DA-4C03-B978-012E25B6694E}" name="Acido" dataDxfId="11"/>
    <tableColumn id="10" xr3:uid="{73669402-9D8F-4C59-89A4-7E0A9B93BE48}" name="Dolce" dataDxfId="10"/>
    <tableColumn id="11" xr3:uid="{9D7107E0-6C45-4C3E-B226-508F381ED337}" name="Salato" dataDxfId="9"/>
    <tableColumn id="12" xr3:uid="{4D90FE5C-EFCF-4E14-9A31-E9227524B00C}" name="Amaro" dataDxfId="8"/>
    <tableColumn id="13" xr3:uid="{0E97B216-B8D2-4119-B4CF-608B6C72912F}" name="Astringente" dataDxfId="7"/>
    <tableColumn id="14" xr3:uid="{744E75AA-0781-4BB0-943C-921D3CF89A8C}" name="Corpo" dataDxfId="6"/>
    <tableColumn id="15" xr3:uid="{9118FCA9-F650-4556-8ED5-BF869DD76029}" name="A_erbaceo" dataDxfId="5"/>
    <tableColumn id="16" xr3:uid="{2CF524AE-59A0-437E-9914-77F82EB1CA6A}" name="A_vegetale" dataDxfId="4"/>
    <tableColumn id="17" xr3:uid="{E9A6DF52-8A1D-4F0E-ABE8-ED462D956B9F}" name="A_legno" dataDxfId="3"/>
    <tableColumn id="18" xr3:uid="{D56425C8-AC6B-4B9A-82A7-2912A92885F1}" name="A_cereali" dataDxfId="2"/>
    <tableColumn id="19" xr3:uid="{80850D08-AAFC-475B-894F-D8C55A638B1A}" name="A_floreale" dataDxfId="1"/>
    <tableColumn id="20" xr3:uid="{BB4E3846-2C6B-43D2-95B7-05DA3E5B9B30}" name="A_frutta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E3BF6-3829-4AA3-AE3F-2DC7C8AC7037}">
  <dimension ref="A1:AD33"/>
  <sheetViews>
    <sheetView zoomScale="108" zoomScaleNormal="100" workbookViewId="0">
      <selection activeCell="A2" sqref="A2:B33"/>
    </sheetView>
  </sheetViews>
  <sheetFormatPr defaultRowHeight="14.5" x14ac:dyDescent="0.35"/>
  <cols>
    <col min="1" max="1" width="26.453125" bestFit="1" customWidth="1"/>
    <col min="2" max="2" width="13.1796875" bestFit="1" customWidth="1"/>
    <col min="3" max="3" width="20.453125" bestFit="1" customWidth="1"/>
    <col min="4" max="4" width="21.26953125" bestFit="1" customWidth="1"/>
    <col min="5" max="5" width="15.453125" bestFit="1" customWidth="1"/>
    <col min="6" max="7" width="9" bestFit="1" customWidth="1"/>
    <col min="8" max="9" width="10.453125" bestFit="1" customWidth="1"/>
    <col min="13" max="13" width="9.453125" bestFit="1" customWidth="1"/>
  </cols>
  <sheetData>
    <row r="1" spans="1:30" x14ac:dyDescent="0.35">
      <c r="A1" s="1" t="s">
        <v>0</v>
      </c>
      <c r="B1" s="1" t="s">
        <v>1</v>
      </c>
      <c r="C1" s="1" t="s">
        <v>109</v>
      </c>
      <c r="D1" s="1" t="s">
        <v>110</v>
      </c>
      <c r="E1" s="1" t="s">
        <v>3</v>
      </c>
      <c r="F1" s="1" t="s">
        <v>150</v>
      </c>
      <c r="G1" s="1" t="s">
        <v>149</v>
      </c>
      <c r="H1" s="1" t="s">
        <v>147</v>
      </c>
      <c r="I1" s="1" t="s">
        <v>148</v>
      </c>
    </row>
    <row r="2" spans="1:30" x14ac:dyDescent="0.35">
      <c r="A2" t="s">
        <v>2</v>
      </c>
      <c r="B2" t="s">
        <v>4</v>
      </c>
      <c r="C2">
        <v>2.0019999999999998</v>
      </c>
      <c r="D2">
        <v>2.0066999999999999</v>
      </c>
      <c r="H2">
        <v>0.3</v>
      </c>
      <c r="I2">
        <v>7.43</v>
      </c>
    </row>
    <row r="3" spans="1:30" x14ac:dyDescent="0.35">
      <c r="A3" t="s">
        <v>2</v>
      </c>
      <c r="B3" t="s">
        <v>5</v>
      </c>
      <c r="C3">
        <v>2.0026999999999999</v>
      </c>
      <c r="D3">
        <v>2.0032000000000001</v>
      </c>
      <c r="E3">
        <v>4</v>
      </c>
      <c r="H3">
        <v>1.9</v>
      </c>
      <c r="I3">
        <v>7.17</v>
      </c>
    </row>
    <row r="4" spans="1:30" x14ac:dyDescent="0.35">
      <c r="A4" t="s">
        <v>13</v>
      </c>
      <c r="B4" t="s">
        <v>6</v>
      </c>
      <c r="C4">
        <v>2.0007999999999999</v>
      </c>
      <c r="D4">
        <v>2.0049999999999999</v>
      </c>
      <c r="H4">
        <v>0.3</v>
      </c>
      <c r="I4">
        <v>6.27</v>
      </c>
    </row>
    <row r="5" spans="1:30" x14ac:dyDescent="0.35">
      <c r="A5" t="s">
        <v>13</v>
      </c>
      <c r="B5" t="s">
        <v>7</v>
      </c>
      <c r="C5">
        <v>2.0034000000000001</v>
      </c>
      <c r="D5">
        <v>2.0074999999999998</v>
      </c>
      <c r="E5">
        <v>4</v>
      </c>
      <c r="H5">
        <v>2</v>
      </c>
      <c r="I5">
        <v>6.33</v>
      </c>
    </row>
    <row r="6" spans="1:30" x14ac:dyDescent="0.35">
      <c r="A6" t="s">
        <v>12</v>
      </c>
      <c r="B6" t="s">
        <v>8</v>
      </c>
      <c r="C6">
        <v>2.0007999999999999</v>
      </c>
      <c r="D6">
        <v>2.0036999999999998</v>
      </c>
      <c r="H6">
        <v>0.5</v>
      </c>
      <c r="I6">
        <v>7.14</v>
      </c>
    </row>
    <row r="7" spans="1:30" x14ac:dyDescent="0.35">
      <c r="A7" t="s">
        <v>12</v>
      </c>
      <c r="B7" t="s">
        <v>9</v>
      </c>
      <c r="C7">
        <v>2.0019999999999998</v>
      </c>
      <c r="D7">
        <v>2.0034999999999998</v>
      </c>
      <c r="E7">
        <v>4</v>
      </c>
      <c r="H7">
        <v>1.9</v>
      </c>
      <c r="I7" s="3">
        <v>6.77</v>
      </c>
      <c r="J7" s="3"/>
      <c r="K7" s="3"/>
      <c r="L7" s="3"/>
      <c r="N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x14ac:dyDescent="0.35">
      <c r="A8" t="s">
        <v>14</v>
      </c>
      <c r="B8" t="s">
        <v>11</v>
      </c>
      <c r="C8">
        <v>2.0021</v>
      </c>
      <c r="D8">
        <v>2.0064000000000002</v>
      </c>
      <c r="H8">
        <v>0.3</v>
      </c>
      <c r="I8">
        <v>6.57</v>
      </c>
    </row>
    <row r="9" spans="1:30" x14ac:dyDescent="0.35">
      <c r="A9" s="19" t="s">
        <v>14</v>
      </c>
      <c r="B9" s="19" t="s">
        <v>10</v>
      </c>
      <c r="C9" s="19">
        <v>2.0007000000000001</v>
      </c>
      <c r="D9" s="19">
        <v>2.0017</v>
      </c>
      <c r="E9" s="19">
        <v>4</v>
      </c>
      <c r="F9" s="19"/>
      <c r="G9" s="19"/>
      <c r="H9" s="19">
        <v>2</v>
      </c>
      <c r="I9" s="19">
        <v>6.38</v>
      </c>
    </row>
    <row r="10" spans="1:30" x14ac:dyDescent="0.35">
      <c r="A10" s="20" t="s">
        <v>96</v>
      </c>
      <c r="B10" s="21" t="s">
        <v>73</v>
      </c>
      <c r="C10" s="22">
        <v>2.0051999999999999</v>
      </c>
      <c r="D10" s="22">
        <v>2.0030999999999999</v>
      </c>
      <c r="E10" s="22"/>
      <c r="F10" s="22">
        <v>0.1</v>
      </c>
      <c r="G10" s="22">
        <v>6</v>
      </c>
      <c r="H10" s="22">
        <v>0.2</v>
      </c>
      <c r="I10" s="22">
        <v>7.28</v>
      </c>
    </row>
    <row r="11" spans="1:30" x14ac:dyDescent="0.35">
      <c r="A11" s="23" t="s">
        <v>96</v>
      </c>
      <c r="B11" s="24" t="s">
        <v>74</v>
      </c>
      <c r="C11">
        <v>2.0013999999999998</v>
      </c>
      <c r="D11">
        <v>2.0036999999999998</v>
      </c>
      <c r="E11">
        <v>4</v>
      </c>
      <c r="F11">
        <v>1.8</v>
      </c>
      <c r="G11">
        <v>5.85</v>
      </c>
      <c r="H11">
        <v>2.1</v>
      </c>
      <c r="I11">
        <v>7.12</v>
      </c>
    </row>
    <row r="12" spans="1:30" x14ac:dyDescent="0.35">
      <c r="A12" s="23" t="s">
        <v>97</v>
      </c>
      <c r="B12" s="24" t="s">
        <v>75</v>
      </c>
      <c r="C12">
        <v>2.0081000000000002</v>
      </c>
      <c r="D12">
        <v>2.0026000000000002</v>
      </c>
      <c r="F12">
        <v>0</v>
      </c>
      <c r="G12">
        <v>6.71</v>
      </c>
      <c r="H12">
        <v>0.3</v>
      </c>
      <c r="I12">
        <v>6.84</v>
      </c>
    </row>
    <row r="13" spans="1:30" x14ac:dyDescent="0.35">
      <c r="A13" s="23" t="s">
        <v>97</v>
      </c>
      <c r="B13" s="24" t="s">
        <v>76</v>
      </c>
      <c r="C13">
        <v>2.0061</v>
      </c>
      <c r="D13">
        <v>2.0072999999999999</v>
      </c>
      <c r="E13">
        <v>4</v>
      </c>
      <c r="F13">
        <v>1.6</v>
      </c>
      <c r="G13">
        <v>6.41</v>
      </c>
      <c r="H13">
        <v>2</v>
      </c>
      <c r="I13">
        <v>6.7</v>
      </c>
    </row>
    <row r="14" spans="1:30" x14ac:dyDescent="0.35">
      <c r="A14" s="23" t="s">
        <v>98</v>
      </c>
      <c r="B14" s="24" t="s">
        <v>77</v>
      </c>
      <c r="C14">
        <v>2.008</v>
      </c>
      <c r="D14">
        <v>2.0023</v>
      </c>
      <c r="F14">
        <v>0</v>
      </c>
      <c r="G14">
        <v>6.25</v>
      </c>
      <c r="H14">
        <v>0.2</v>
      </c>
      <c r="I14">
        <v>6.27</v>
      </c>
    </row>
    <row r="15" spans="1:30" x14ac:dyDescent="0.35">
      <c r="A15" s="25" t="s">
        <v>98</v>
      </c>
      <c r="B15" s="26" t="s">
        <v>78</v>
      </c>
      <c r="C15" s="19">
        <v>2.0064000000000002</v>
      </c>
      <c r="D15" s="19">
        <v>2.008</v>
      </c>
      <c r="E15" s="19">
        <v>4</v>
      </c>
      <c r="F15" s="19">
        <v>1.8</v>
      </c>
      <c r="G15" s="19">
        <v>6.1</v>
      </c>
      <c r="H15" s="19">
        <v>2</v>
      </c>
      <c r="I15" s="19">
        <v>6.3</v>
      </c>
    </row>
    <row r="16" spans="1:30" x14ac:dyDescent="0.35">
      <c r="A16" s="27" t="s">
        <v>99</v>
      </c>
      <c r="B16" s="28" t="s">
        <v>79</v>
      </c>
      <c r="C16" s="22">
        <v>2.0078999999999998</v>
      </c>
      <c r="D16" s="22">
        <v>2.0074000000000001</v>
      </c>
      <c r="E16" s="22"/>
      <c r="F16" s="22">
        <v>0.2</v>
      </c>
      <c r="G16" s="22">
        <v>5.24</v>
      </c>
      <c r="H16" s="22">
        <v>0.4</v>
      </c>
      <c r="I16" s="22">
        <v>6.3</v>
      </c>
    </row>
    <row r="17" spans="1:10" x14ac:dyDescent="0.35">
      <c r="A17" s="29" t="s">
        <v>99</v>
      </c>
      <c r="B17" s="30" t="s">
        <v>80</v>
      </c>
      <c r="C17">
        <v>2.0074999999999998</v>
      </c>
      <c r="D17">
        <v>2.0057999999999998</v>
      </c>
      <c r="E17">
        <v>4</v>
      </c>
      <c r="F17">
        <v>1.8</v>
      </c>
      <c r="G17">
        <v>5.49</v>
      </c>
      <c r="H17">
        <v>2.1</v>
      </c>
      <c r="I17">
        <v>6.29</v>
      </c>
    </row>
    <row r="18" spans="1:10" x14ac:dyDescent="0.35">
      <c r="A18" s="29" t="s">
        <v>100</v>
      </c>
      <c r="B18" s="30" t="s">
        <v>81</v>
      </c>
      <c r="C18">
        <v>2.0003000000000002</v>
      </c>
      <c r="D18">
        <v>2.0028999999999999</v>
      </c>
      <c r="F18">
        <v>0</v>
      </c>
      <c r="G18">
        <v>6.2</v>
      </c>
      <c r="H18">
        <v>0.4</v>
      </c>
      <c r="I18">
        <v>6.35</v>
      </c>
    </row>
    <row r="19" spans="1:10" x14ac:dyDescent="0.35">
      <c r="A19" s="29" t="s">
        <v>100</v>
      </c>
      <c r="B19" s="30" t="s">
        <v>82</v>
      </c>
      <c r="C19">
        <v>2.0064000000000002</v>
      </c>
      <c r="D19">
        <v>2.0061</v>
      </c>
      <c r="E19">
        <v>4</v>
      </c>
      <c r="F19">
        <v>1.7</v>
      </c>
      <c r="G19">
        <v>6</v>
      </c>
      <c r="H19">
        <v>2</v>
      </c>
      <c r="I19">
        <v>6.41</v>
      </c>
    </row>
    <row r="20" spans="1:10" x14ac:dyDescent="0.35">
      <c r="A20" s="29" t="s">
        <v>102</v>
      </c>
      <c r="B20" s="30" t="s">
        <v>83</v>
      </c>
      <c r="C20">
        <v>2.0030000000000001</v>
      </c>
      <c r="D20">
        <v>2.0032000000000001</v>
      </c>
      <c r="F20">
        <v>0</v>
      </c>
      <c r="G20">
        <v>6.13</v>
      </c>
      <c r="H20">
        <v>0.3</v>
      </c>
      <c r="I20">
        <v>7.26</v>
      </c>
    </row>
    <row r="21" spans="1:10" x14ac:dyDescent="0.35">
      <c r="A21" s="31" t="s">
        <v>102</v>
      </c>
      <c r="B21" s="32" t="s">
        <v>84</v>
      </c>
      <c r="C21" s="19">
        <v>2.0087000000000002</v>
      </c>
      <c r="D21" s="19">
        <v>2.0030000000000001</v>
      </c>
      <c r="E21" s="19">
        <v>4</v>
      </c>
      <c r="F21">
        <v>1.8</v>
      </c>
      <c r="G21">
        <v>5.62</v>
      </c>
      <c r="H21" s="19">
        <v>2.1</v>
      </c>
      <c r="I21" s="19">
        <v>6.54</v>
      </c>
    </row>
    <row r="22" spans="1:10" x14ac:dyDescent="0.35">
      <c r="A22" s="33" t="s">
        <v>103</v>
      </c>
      <c r="B22" s="34" t="s">
        <v>85</v>
      </c>
      <c r="C22" s="22">
        <v>2.0049999999999999</v>
      </c>
      <c r="D22" s="22">
        <v>2.0017999999999998</v>
      </c>
      <c r="E22" s="22"/>
      <c r="F22" s="22">
        <v>0.3</v>
      </c>
      <c r="G22" s="22">
        <v>5.84</v>
      </c>
      <c r="H22" s="22">
        <v>0.5</v>
      </c>
      <c r="I22" s="22">
        <v>7.28</v>
      </c>
      <c r="J22" t="s">
        <v>151</v>
      </c>
    </row>
    <row r="23" spans="1:10" x14ac:dyDescent="0.35">
      <c r="A23" s="35" t="s">
        <v>103</v>
      </c>
      <c r="B23" s="36" t="s">
        <v>86</v>
      </c>
      <c r="C23">
        <v>2.0045999999999999</v>
      </c>
      <c r="D23">
        <v>2.0045999999999999</v>
      </c>
      <c r="E23">
        <v>4</v>
      </c>
      <c r="F23">
        <v>1.7</v>
      </c>
      <c r="G23">
        <v>6.07</v>
      </c>
      <c r="H23">
        <v>2.1</v>
      </c>
      <c r="I23">
        <v>6.89</v>
      </c>
      <c r="J23" t="s">
        <v>151</v>
      </c>
    </row>
    <row r="24" spans="1:10" x14ac:dyDescent="0.35">
      <c r="A24" s="35" t="s">
        <v>104</v>
      </c>
      <c r="B24" s="36" t="s">
        <v>87</v>
      </c>
      <c r="C24">
        <v>2.0051000000000001</v>
      </c>
      <c r="D24">
        <v>2.0053999999999998</v>
      </c>
      <c r="F24">
        <v>0</v>
      </c>
      <c r="G24">
        <v>6.53</v>
      </c>
      <c r="H24">
        <v>0.3</v>
      </c>
      <c r="I24">
        <v>6.4</v>
      </c>
    </row>
    <row r="25" spans="1:10" x14ac:dyDescent="0.35">
      <c r="A25" s="35" t="s">
        <v>104</v>
      </c>
      <c r="B25" s="36" t="s">
        <v>88</v>
      </c>
      <c r="C25">
        <v>2.0019999999999998</v>
      </c>
      <c r="D25">
        <v>2.0053000000000001</v>
      </c>
      <c r="E25">
        <v>4</v>
      </c>
      <c r="F25">
        <v>1.6</v>
      </c>
      <c r="G25">
        <v>6.49</v>
      </c>
      <c r="H25">
        <v>2</v>
      </c>
      <c r="I25">
        <v>6.91</v>
      </c>
    </row>
    <row r="26" spans="1:10" x14ac:dyDescent="0.35">
      <c r="A26" s="35" t="s">
        <v>101</v>
      </c>
      <c r="B26" s="36" t="s">
        <v>89</v>
      </c>
      <c r="C26">
        <v>2.0049999999999999</v>
      </c>
      <c r="D26">
        <v>2.0030999999999999</v>
      </c>
      <c r="F26">
        <v>0</v>
      </c>
      <c r="G26">
        <v>6.6</v>
      </c>
      <c r="H26">
        <v>0.2</v>
      </c>
      <c r="I26">
        <v>6.75</v>
      </c>
    </row>
    <row r="27" spans="1:10" x14ac:dyDescent="0.35">
      <c r="A27" s="37" t="s">
        <v>101</v>
      </c>
      <c r="B27" s="38" t="s">
        <v>90</v>
      </c>
      <c r="C27" s="19">
        <v>2.0078</v>
      </c>
      <c r="D27" s="19">
        <v>2.0059999999999998</v>
      </c>
      <c r="E27" s="19">
        <v>4</v>
      </c>
      <c r="F27">
        <v>2.2000000000000002</v>
      </c>
      <c r="G27" s="19">
        <v>6.46</v>
      </c>
      <c r="H27" s="19">
        <v>1.9</v>
      </c>
      <c r="I27" s="19">
        <v>6.69</v>
      </c>
    </row>
    <row r="28" spans="1:10" x14ac:dyDescent="0.35">
      <c r="A28" s="39" t="s">
        <v>105</v>
      </c>
      <c r="B28" s="40" t="s">
        <v>91</v>
      </c>
      <c r="C28" s="22">
        <v>2.0043000000000002</v>
      </c>
      <c r="D28" s="22">
        <v>2.0082</v>
      </c>
      <c r="E28" s="22"/>
      <c r="F28" s="22">
        <v>0.1</v>
      </c>
      <c r="G28" s="22">
        <v>6.23</v>
      </c>
      <c r="H28" s="22">
        <v>0.2</v>
      </c>
      <c r="I28" s="22">
        <v>6.1</v>
      </c>
    </row>
    <row r="29" spans="1:10" x14ac:dyDescent="0.35">
      <c r="A29" s="41" t="s">
        <v>105</v>
      </c>
      <c r="B29" s="42" t="s">
        <v>92</v>
      </c>
      <c r="C29">
        <v>2.0053999999999998</v>
      </c>
      <c r="D29">
        <v>2.0011999999999999</v>
      </c>
      <c r="E29">
        <v>4</v>
      </c>
      <c r="F29">
        <v>1.8</v>
      </c>
      <c r="G29">
        <v>6.41</v>
      </c>
      <c r="H29">
        <v>1.8</v>
      </c>
      <c r="I29">
        <v>6.03</v>
      </c>
    </row>
    <row r="30" spans="1:10" x14ac:dyDescent="0.35">
      <c r="A30" s="41" t="s">
        <v>106</v>
      </c>
      <c r="B30" s="42" t="s">
        <v>93</v>
      </c>
      <c r="C30">
        <v>2.0036</v>
      </c>
      <c r="D30">
        <v>2.0044</v>
      </c>
      <c r="F30">
        <v>0</v>
      </c>
      <c r="G30">
        <v>6.48</v>
      </c>
      <c r="H30">
        <v>0.3</v>
      </c>
      <c r="I30">
        <v>5.94</v>
      </c>
    </row>
    <row r="31" spans="1:10" x14ac:dyDescent="0.35">
      <c r="A31" s="41" t="s">
        <v>106</v>
      </c>
      <c r="B31" s="42" t="s">
        <v>94</v>
      </c>
      <c r="C31">
        <v>2.0068000000000001</v>
      </c>
      <c r="D31">
        <v>2.0057</v>
      </c>
      <c r="E31">
        <v>4</v>
      </c>
      <c r="F31">
        <v>1.9</v>
      </c>
      <c r="G31">
        <v>6.39</v>
      </c>
      <c r="H31">
        <v>2</v>
      </c>
      <c r="I31">
        <v>6</v>
      </c>
    </row>
    <row r="32" spans="1:10" x14ac:dyDescent="0.35">
      <c r="A32" s="41" t="s">
        <v>108</v>
      </c>
      <c r="B32" s="42" t="s">
        <v>107</v>
      </c>
      <c r="C32">
        <v>2.0084</v>
      </c>
      <c r="D32">
        <v>2.0021</v>
      </c>
      <c r="F32">
        <v>0</v>
      </c>
      <c r="G32">
        <v>6.41</v>
      </c>
      <c r="H32">
        <v>0.3</v>
      </c>
      <c r="I32">
        <v>6.15</v>
      </c>
    </row>
    <row r="33" spans="1:9" x14ac:dyDescent="0.35">
      <c r="A33" s="43" t="s">
        <v>108</v>
      </c>
      <c r="B33" s="44" t="s">
        <v>95</v>
      </c>
      <c r="C33" s="19">
        <v>2.0028000000000001</v>
      </c>
      <c r="D33" s="19">
        <v>2.0051999999999999</v>
      </c>
      <c r="E33" s="19">
        <v>4</v>
      </c>
      <c r="F33" s="19">
        <v>1.9</v>
      </c>
      <c r="G33" s="19">
        <v>6.46</v>
      </c>
      <c r="H33" s="19">
        <v>2</v>
      </c>
      <c r="I33" s="19">
        <v>6.89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5E852-7EE1-45EF-871A-E731241BD41E}">
  <dimension ref="A1:L33"/>
  <sheetViews>
    <sheetView zoomScale="130" zoomScaleNormal="130" workbookViewId="0">
      <selection activeCell="E3" sqref="E3"/>
    </sheetView>
  </sheetViews>
  <sheetFormatPr defaultRowHeight="14.5" x14ac:dyDescent="0.35"/>
  <cols>
    <col min="1" max="1" width="24" bestFit="1" customWidth="1"/>
    <col min="2" max="2" width="13.1796875" bestFit="1" customWidth="1"/>
    <col min="3" max="3" width="13.1796875" customWidth="1"/>
    <col min="4" max="4" width="11.54296875" bestFit="1" customWidth="1"/>
    <col min="5" max="5" width="12.54296875" bestFit="1" customWidth="1"/>
    <col min="8" max="8" width="15" bestFit="1" customWidth="1"/>
  </cols>
  <sheetData>
    <row r="1" spans="1:12" x14ac:dyDescent="0.35">
      <c r="A1" s="1" t="s">
        <v>324</v>
      </c>
      <c r="B1" s="1" t="s">
        <v>325</v>
      </c>
      <c r="C1" s="1" t="s">
        <v>328</v>
      </c>
      <c r="D1" s="1" t="s">
        <v>326</v>
      </c>
      <c r="E1" s="1" t="s">
        <v>327</v>
      </c>
      <c r="I1" t="s">
        <v>329</v>
      </c>
      <c r="J1" t="s">
        <v>330</v>
      </c>
    </row>
    <row r="2" spans="1:12" x14ac:dyDescent="0.35">
      <c r="A2" t="s">
        <v>2</v>
      </c>
      <c r="B2" t="s">
        <v>4</v>
      </c>
      <c r="C2" s="94" t="b">
        <v>1</v>
      </c>
      <c r="D2" s="94" t="b">
        <v>1</v>
      </c>
      <c r="E2" s="94" t="b">
        <v>1</v>
      </c>
      <c r="H2" t="s">
        <v>331</v>
      </c>
      <c r="I2">
        <v>6</v>
      </c>
      <c r="J2">
        <v>6</v>
      </c>
    </row>
    <row r="3" spans="1:12" x14ac:dyDescent="0.35">
      <c r="A3" s="19" t="s">
        <v>2</v>
      </c>
      <c r="B3" s="19" t="s">
        <v>5</v>
      </c>
      <c r="C3" s="95" t="b">
        <v>1</v>
      </c>
      <c r="D3" s="95" t="b">
        <v>1</v>
      </c>
      <c r="E3" s="95" t="b">
        <v>1</v>
      </c>
      <c r="H3" t="s">
        <v>332</v>
      </c>
      <c r="I3">
        <v>6</v>
      </c>
      <c r="J3">
        <v>6</v>
      </c>
    </row>
    <row r="4" spans="1:12" x14ac:dyDescent="0.35">
      <c r="A4" s="22" t="s">
        <v>13</v>
      </c>
      <c r="B4" s="22" t="s">
        <v>6</v>
      </c>
      <c r="C4" s="96" t="b">
        <v>1</v>
      </c>
      <c r="D4" s="96" t="b">
        <v>1</v>
      </c>
      <c r="E4" s="96" t="b">
        <v>1</v>
      </c>
      <c r="H4" t="s">
        <v>333</v>
      </c>
      <c r="I4">
        <v>6</v>
      </c>
      <c r="J4">
        <v>6</v>
      </c>
    </row>
    <row r="5" spans="1:12" x14ac:dyDescent="0.35">
      <c r="A5" s="19" t="s">
        <v>13</v>
      </c>
      <c r="B5" s="19" t="s">
        <v>7</v>
      </c>
      <c r="C5" s="95" t="b">
        <v>1</v>
      </c>
      <c r="D5" s="95" t="b">
        <v>1</v>
      </c>
      <c r="E5" s="95" t="b">
        <v>1</v>
      </c>
      <c r="H5" t="s">
        <v>334</v>
      </c>
      <c r="I5">
        <v>6</v>
      </c>
      <c r="J5">
        <v>6</v>
      </c>
    </row>
    <row r="6" spans="1:12" x14ac:dyDescent="0.35">
      <c r="A6" s="22" t="s">
        <v>12</v>
      </c>
      <c r="B6" s="22" t="s">
        <v>8</v>
      </c>
      <c r="C6" s="96" t="b">
        <v>1</v>
      </c>
      <c r="D6" s="96" t="b">
        <v>0</v>
      </c>
      <c r="E6" s="96" t="b">
        <v>0</v>
      </c>
    </row>
    <row r="7" spans="1:12" x14ac:dyDescent="0.35">
      <c r="A7" t="s">
        <v>12</v>
      </c>
      <c r="B7" t="s">
        <v>9</v>
      </c>
      <c r="C7" s="94" t="b">
        <v>1</v>
      </c>
      <c r="D7" s="94" t="b">
        <v>0</v>
      </c>
      <c r="E7" s="94" t="b">
        <v>0</v>
      </c>
    </row>
    <row r="8" spans="1:12" x14ac:dyDescent="0.35">
      <c r="A8" t="s">
        <v>14</v>
      </c>
      <c r="B8" t="s">
        <v>11</v>
      </c>
      <c r="C8" s="94" t="b">
        <v>1</v>
      </c>
      <c r="D8" s="94" t="b">
        <v>0</v>
      </c>
      <c r="E8" s="94" t="b">
        <v>0</v>
      </c>
      <c r="H8" t="s">
        <v>335</v>
      </c>
      <c r="I8">
        <f>30+45</f>
        <v>75</v>
      </c>
      <c r="J8">
        <v>75</v>
      </c>
    </row>
    <row r="9" spans="1:12" x14ac:dyDescent="0.35">
      <c r="A9" s="19" t="s">
        <v>14</v>
      </c>
      <c r="B9" s="19" t="s">
        <v>10</v>
      </c>
      <c r="C9" s="95" t="b">
        <v>1</v>
      </c>
      <c r="D9" s="95" t="b">
        <v>0</v>
      </c>
      <c r="E9" s="95" t="b">
        <v>0</v>
      </c>
      <c r="H9" t="s">
        <v>336</v>
      </c>
      <c r="I9">
        <f>I8*SUM(I2:I5)</f>
        <v>1800</v>
      </c>
      <c r="J9">
        <f>J8*SUM(J2:J5)</f>
        <v>1800</v>
      </c>
    </row>
    <row r="10" spans="1:12" x14ac:dyDescent="0.35">
      <c r="A10" s="22" t="s">
        <v>96</v>
      </c>
      <c r="B10" s="92" t="s">
        <v>73</v>
      </c>
      <c r="C10" s="96" t="b">
        <v>0</v>
      </c>
      <c r="D10" s="96" t="b">
        <v>0</v>
      </c>
      <c r="E10" s="96" t="b">
        <v>0</v>
      </c>
      <c r="H10" t="s">
        <v>337</v>
      </c>
      <c r="I10">
        <f>I9/60</f>
        <v>30</v>
      </c>
      <c r="J10">
        <f>J9/60</f>
        <v>30</v>
      </c>
      <c r="L10">
        <f>SUM(I11:J11)</f>
        <v>2.5</v>
      </c>
    </row>
    <row r="11" spans="1:12" x14ac:dyDescent="0.35">
      <c r="A11" t="s">
        <v>96</v>
      </c>
      <c r="B11" s="97" t="s">
        <v>74</v>
      </c>
      <c r="C11" s="94" t="b">
        <v>0</v>
      </c>
      <c r="D11" s="94" t="b">
        <v>0</v>
      </c>
      <c r="E11" s="94" t="b">
        <v>0</v>
      </c>
      <c r="H11" t="s">
        <v>338</v>
      </c>
      <c r="I11">
        <f>I10/24</f>
        <v>1.25</v>
      </c>
      <c r="J11">
        <f>J10/24</f>
        <v>1.25</v>
      </c>
    </row>
    <row r="12" spans="1:12" x14ac:dyDescent="0.35">
      <c r="A12" t="s">
        <v>104</v>
      </c>
      <c r="B12" s="97" t="s">
        <v>87</v>
      </c>
      <c r="C12" s="94" t="b">
        <v>0</v>
      </c>
      <c r="D12" s="94" t="b">
        <v>0</v>
      </c>
      <c r="E12" s="94" t="b">
        <v>0</v>
      </c>
    </row>
    <row r="13" spans="1:12" x14ac:dyDescent="0.35">
      <c r="A13" s="19" t="s">
        <v>104</v>
      </c>
      <c r="B13" s="93" t="s">
        <v>88</v>
      </c>
      <c r="C13" s="95" t="b">
        <v>0</v>
      </c>
      <c r="D13" s="95" t="b">
        <v>0</v>
      </c>
      <c r="E13" s="95" t="b">
        <v>0</v>
      </c>
    </row>
    <row r="14" spans="1:12" x14ac:dyDescent="0.35">
      <c r="A14" s="22" t="s">
        <v>98</v>
      </c>
      <c r="B14" s="92" t="s">
        <v>77</v>
      </c>
      <c r="C14" s="96" t="b">
        <v>1</v>
      </c>
      <c r="D14" s="96" t="b">
        <v>1</v>
      </c>
      <c r="E14" s="96" t="b">
        <v>1</v>
      </c>
    </row>
    <row r="15" spans="1:12" x14ac:dyDescent="0.35">
      <c r="A15" t="s">
        <v>98</v>
      </c>
      <c r="B15" s="97" t="s">
        <v>78</v>
      </c>
      <c r="C15" s="94" t="b">
        <v>1</v>
      </c>
      <c r="D15" s="94" t="b">
        <v>1</v>
      </c>
      <c r="E15" s="94" t="b">
        <v>1</v>
      </c>
    </row>
    <row r="16" spans="1:12" x14ac:dyDescent="0.35">
      <c r="A16" t="s">
        <v>99</v>
      </c>
      <c r="B16" s="97" t="s">
        <v>79</v>
      </c>
      <c r="C16" s="94" t="b">
        <v>1</v>
      </c>
      <c r="D16" s="94" t="b">
        <v>0</v>
      </c>
      <c r="E16" s="94" t="b">
        <v>0</v>
      </c>
    </row>
    <row r="17" spans="1:5" x14ac:dyDescent="0.35">
      <c r="A17" t="s">
        <v>99</v>
      </c>
      <c r="B17" s="97" t="s">
        <v>80</v>
      </c>
      <c r="C17" s="94" t="b">
        <v>1</v>
      </c>
      <c r="D17" s="94" t="b">
        <v>0</v>
      </c>
      <c r="E17" s="94" t="b">
        <v>0</v>
      </c>
    </row>
    <row r="18" spans="1:5" x14ac:dyDescent="0.35">
      <c r="A18" t="s">
        <v>102</v>
      </c>
      <c r="B18" s="97" t="s">
        <v>83</v>
      </c>
      <c r="C18" s="94" t="b">
        <v>1</v>
      </c>
      <c r="D18" s="94" t="b">
        <v>0</v>
      </c>
      <c r="E18" s="94" t="b">
        <v>0</v>
      </c>
    </row>
    <row r="19" spans="1:5" x14ac:dyDescent="0.35">
      <c r="A19" t="s">
        <v>102</v>
      </c>
      <c r="B19" s="97" t="s">
        <v>84</v>
      </c>
      <c r="C19" s="94" t="b">
        <v>1</v>
      </c>
      <c r="D19" s="94" t="b">
        <v>0</v>
      </c>
      <c r="E19" s="94" t="b">
        <v>0</v>
      </c>
    </row>
    <row r="20" spans="1:5" x14ac:dyDescent="0.35">
      <c r="A20" t="s">
        <v>103</v>
      </c>
      <c r="B20" s="97" t="s">
        <v>85</v>
      </c>
      <c r="C20" s="94" t="b">
        <v>1</v>
      </c>
      <c r="D20" s="94" t="b">
        <v>0</v>
      </c>
      <c r="E20" s="94" t="b">
        <v>0</v>
      </c>
    </row>
    <row r="21" spans="1:5" x14ac:dyDescent="0.35">
      <c r="A21" t="s">
        <v>103</v>
      </c>
      <c r="B21" s="97" t="s">
        <v>86</v>
      </c>
      <c r="C21" s="94" t="b">
        <v>1</v>
      </c>
      <c r="D21" s="94" t="b">
        <v>0</v>
      </c>
      <c r="E21" s="94" t="b">
        <v>0</v>
      </c>
    </row>
    <row r="22" spans="1:5" x14ac:dyDescent="0.35">
      <c r="A22" t="s">
        <v>106</v>
      </c>
      <c r="B22" s="97" t="s">
        <v>93</v>
      </c>
      <c r="C22" s="94" t="b">
        <v>1</v>
      </c>
      <c r="D22" s="94" t="b">
        <v>0</v>
      </c>
      <c r="E22" s="94" t="b">
        <v>0</v>
      </c>
    </row>
    <row r="23" spans="1:5" x14ac:dyDescent="0.35">
      <c r="A23" t="s">
        <v>106</v>
      </c>
      <c r="B23" s="97" t="s">
        <v>94</v>
      </c>
      <c r="C23" s="94" t="b">
        <v>1</v>
      </c>
      <c r="D23" s="94" t="b">
        <v>0</v>
      </c>
      <c r="E23" s="94" t="b">
        <v>0</v>
      </c>
    </row>
    <row r="24" spans="1:5" x14ac:dyDescent="0.35">
      <c r="A24" t="s">
        <v>108</v>
      </c>
      <c r="B24" s="97" t="s">
        <v>107</v>
      </c>
      <c r="C24" s="94" t="b">
        <v>1</v>
      </c>
      <c r="D24" s="94" t="b">
        <v>0</v>
      </c>
      <c r="E24" s="94" t="b">
        <v>0</v>
      </c>
    </row>
    <row r="25" spans="1:5" x14ac:dyDescent="0.35">
      <c r="A25" s="19" t="s">
        <v>108</v>
      </c>
      <c r="B25" s="93" t="s">
        <v>95</v>
      </c>
      <c r="C25" s="95" t="b">
        <v>1</v>
      </c>
      <c r="D25" s="95" t="b">
        <v>0</v>
      </c>
      <c r="E25" s="95" t="b">
        <v>0</v>
      </c>
    </row>
    <row r="26" spans="1:5" x14ac:dyDescent="0.35">
      <c r="A26" s="22" t="s">
        <v>101</v>
      </c>
      <c r="B26" s="92" t="s">
        <v>89</v>
      </c>
      <c r="C26" s="96" t="b">
        <v>1</v>
      </c>
      <c r="D26" s="96" t="b">
        <v>1</v>
      </c>
      <c r="E26" s="96" t="b">
        <v>1</v>
      </c>
    </row>
    <row r="27" spans="1:5" x14ac:dyDescent="0.35">
      <c r="A27" t="s">
        <v>101</v>
      </c>
      <c r="B27" s="97" t="s">
        <v>90</v>
      </c>
      <c r="C27" s="94" t="b">
        <v>1</v>
      </c>
      <c r="D27" s="94" t="b">
        <v>1</v>
      </c>
      <c r="E27" s="94" t="b">
        <v>1</v>
      </c>
    </row>
    <row r="28" spans="1:5" x14ac:dyDescent="0.35">
      <c r="A28" t="s">
        <v>105</v>
      </c>
      <c r="B28" s="97" t="s">
        <v>91</v>
      </c>
      <c r="C28" s="94" t="b">
        <v>1</v>
      </c>
      <c r="D28" s="94" t="b">
        <v>0</v>
      </c>
      <c r="E28" s="94" t="b">
        <v>0</v>
      </c>
    </row>
    <row r="29" spans="1:5" x14ac:dyDescent="0.35">
      <c r="A29" t="s">
        <v>105</v>
      </c>
      <c r="B29" s="97" t="s">
        <v>92</v>
      </c>
      <c r="C29" s="94" t="b">
        <v>1</v>
      </c>
      <c r="D29" s="94" t="b">
        <v>0</v>
      </c>
      <c r="E29" s="94" t="b">
        <v>0</v>
      </c>
    </row>
    <row r="30" spans="1:5" x14ac:dyDescent="0.35">
      <c r="A30" t="s">
        <v>97</v>
      </c>
      <c r="B30" s="97" t="s">
        <v>75</v>
      </c>
      <c r="C30" s="94" t="b">
        <v>1</v>
      </c>
      <c r="D30" s="94" t="b">
        <v>1</v>
      </c>
      <c r="E30" s="94" t="b">
        <v>1</v>
      </c>
    </row>
    <row r="31" spans="1:5" x14ac:dyDescent="0.35">
      <c r="A31" t="s">
        <v>97</v>
      </c>
      <c r="B31" s="97" t="s">
        <v>76</v>
      </c>
      <c r="C31" s="94" t="b">
        <v>1</v>
      </c>
      <c r="D31" s="94" t="b">
        <v>1</v>
      </c>
      <c r="E31" s="94" t="b">
        <v>1</v>
      </c>
    </row>
    <row r="32" spans="1:5" x14ac:dyDescent="0.35">
      <c r="A32" t="s">
        <v>100</v>
      </c>
      <c r="B32" s="97" t="s">
        <v>81</v>
      </c>
      <c r="C32" s="94" t="b">
        <v>1</v>
      </c>
      <c r="D32" s="94" t="b">
        <v>0</v>
      </c>
      <c r="E32" s="94" t="b">
        <v>0</v>
      </c>
    </row>
    <row r="33" spans="1:5" x14ac:dyDescent="0.35">
      <c r="A33" s="19" t="s">
        <v>100</v>
      </c>
      <c r="B33" s="93" t="s">
        <v>82</v>
      </c>
      <c r="C33" s="95" t="b">
        <v>1</v>
      </c>
      <c r="D33" s="95" t="b">
        <v>0</v>
      </c>
      <c r="E33" s="95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9F463-C814-4285-8FC5-C8A2CD4454C0}">
  <dimension ref="A1:I53"/>
  <sheetViews>
    <sheetView zoomScale="59" zoomScaleNormal="115" workbookViewId="0">
      <selection activeCell="B13" sqref="B13"/>
    </sheetView>
  </sheetViews>
  <sheetFormatPr defaultRowHeight="14.5" x14ac:dyDescent="0.35"/>
  <cols>
    <col min="1" max="1" width="22" customWidth="1"/>
    <col min="2" max="2" width="21.26953125" customWidth="1"/>
  </cols>
  <sheetData>
    <row r="1" spans="1:9" x14ac:dyDescent="0.35">
      <c r="A1" s="2" t="s">
        <v>15</v>
      </c>
      <c r="B1" s="4"/>
      <c r="C1" s="4"/>
      <c r="D1" s="4"/>
      <c r="E1" s="4"/>
      <c r="F1" s="5"/>
      <c r="G1" s="5"/>
      <c r="H1" s="5"/>
      <c r="I1" s="3"/>
    </row>
    <row r="2" spans="1:9" x14ac:dyDescent="0.35">
      <c r="A2" s="2" t="s">
        <v>16</v>
      </c>
      <c r="B2" s="4"/>
      <c r="C2" s="4"/>
      <c r="D2" s="4"/>
      <c r="E2" s="4"/>
      <c r="F2" s="5"/>
      <c r="G2" s="5"/>
      <c r="H2" s="5"/>
      <c r="I2" s="3"/>
    </row>
    <row r="3" spans="1:9" x14ac:dyDescent="0.35">
      <c r="A3" s="6"/>
      <c r="B3" s="5"/>
      <c r="C3" s="5"/>
      <c r="D3" s="5"/>
      <c r="E3" s="5"/>
      <c r="F3" s="5"/>
      <c r="G3" s="5"/>
      <c r="H3" s="5"/>
      <c r="I3" s="3"/>
    </row>
    <row r="4" spans="1:9" x14ac:dyDescent="0.35">
      <c r="A4" s="6" t="s">
        <v>17</v>
      </c>
      <c r="B4" s="3" t="s">
        <v>18</v>
      </c>
      <c r="C4" s="3"/>
      <c r="D4" s="3"/>
      <c r="E4" s="3"/>
      <c r="F4" s="3" t="s">
        <v>19</v>
      </c>
      <c r="G4" s="3"/>
      <c r="H4" s="3"/>
      <c r="I4" s="3"/>
    </row>
    <row r="5" spans="1:9" x14ac:dyDescent="0.35">
      <c r="A5" s="6"/>
      <c r="B5" s="3"/>
      <c r="C5" s="3"/>
      <c r="D5" s="3"/>
      <c r="E5" s="3"/>
      <c r="F5" s="7" t="s">
        <v>20</v>
      </c>
      <c r="G5" s="7" t="s">
        <v>21</v>
      </c>
      <c r="H5" s="7"/>
      <c r="I5" s="7" t="s">
        <v>22</v>
      </c>
    </row>
    <row r="6" spans="1:9" x14ac:dyDescent="0.35">
      <c r="A6" s="3" t="s">
        <v>23</v>
      </c>
      <c r="B6" s="3" t="s">
        <v>24</v>
      </c>
      <c r="C6" s="3"/>
      <c r="D6" s="3"/>
      <c r="E6" s="3"/>
      <c r="F6" s="7">
        <v>20</v>
      </c>
      <c r="G6" s="7">
        <v>1000</v>
      </c>
      <c r="H6" s="7" t="s">
        <v>25</v>
      </c>
      <c r="I6" s="7">
        <v>200</v>
      </c>
    </row>
    <row r="7" spans="1:9" x14ac:dyDescent="0.35">
      <c r="A7" s="3"/>
      <c r="B7" s="3" t="s">
        <v>26</v>
      </c>
      <c r="C7" s="3"/>
      <c r="D7" s="3"/>
      <c r="E7" s="3"/>
      <c r="F7" s="7" t="s">
        <v>27</v>
      </c>
      <c r="G7" s="8">
        <f>(F6*I6)/G6</f>
        <v>4</v>
      </c>
      <c r="H7" s="7"/>
      <c r="I7" s="7"/>
    </row>
    <row r="8" spans="1:9" x14ac:dyDescent="0.35">
      <c r="A8" s="3"/>
      <c r="B8" s="3" t="s">
        <v>28</v>
      </c>
      <c r="C8" s="3"/>
      <c r="D8" s="3"/>
      <c r="E8" s="3"/>
      <c r="F8" s="3"/>
      <c r="G8" s="3"/>
      <c r="H8" s="3"/>
      <c r="I8" s="3"/>
    </row>
    <row r="9" spans="1:9" x14ac:dyDescent="0.35">
      <c r="A9" s="3"/>
      <c r="B9" s="3"/>
      <c r="C9" s="3"/>
      <c r="D9" s="3"/>
      <c r="E9" s="3"/>
      <c r="F9" s="7"/>
      <c r="G9" s="3"/>
      <c r="H9" s="3"/>
      <c r="I9" s="3"/>
    </row>
    <row r="10" spans="1:9" x14ac:dyDescent="0.35">
      <c r="A10" s="3"/>
      <c r="B10" s="3"/>
      <c r="C10" s="3"/>
      <c r="D10" s="3"/>
      <c r="E10" s="3"/>
      <c r="F10" s="7" t="s">
        <v>20</v>
      </c>
      <c r="G10" s="7" t="s">
        <v>21</v>
      </c>
      <c r="H10" s="7"/>
      <c r="I10" s="7" t="s">
        <v>22</v>
      </c>
    </row>
    <row r="11" spans="1:9" x14ac:dyDescent="0.35">
      <c r="A11" s="3" t="s">
        <v>29</v>
      </c>
      <c r="B11" s="3" t="s">
        <v>30</v>
      </c>
      <c r="C11" s="7"/>
      <c r="D11" s="7"/>
      <c r="E11" s="7"/>
      <c r="F11" s="7">
        <v>8</v>
      </c>
      <c r="G11" s="7">
        <v>1000</v>
      </c>
      <c r="H11" s="7" t="s">
        <v>25</v>
      </c>
      <c r="I11" s="7">
        <v>250</v>
      </c>
    </row>
    <row r="12" spans="1:9" x14ac:dyDescent="0.35">
      <c r="A12" s="3"/>
      <c r="B12" s="3" t="s">
        <v>31</v>
      </c>
      <c r="C12" s="7"/>
      <c r="D12" s="7"/>
      <c r="E12" s="7"/>
      <c r="F12" s="7" t="s">
        <v>27</v>
      </c>
      <c r="G12" s="8">
        <v>2</v>
      </c>
      <c r="H12" s="7"/>
      <c r="I12" s="7"/>
    </row>
    <row r="13" spans="1:9" x14ac:dyDescent="0.35">
      <c r="A13" s="3"/>
      <c r="B13" s="6" t="s">
        <v>32</v>
      </c>
      <c r="C13" s="3"/>
      <c r="D13" s="3"/>
      <c r="E13" s="3"/>
      <c r="F13" s="3"/>
      <c r="G13" s="3"/>
      <c r="H13" s="3"/>
      <c r="I13" s="3"/>
    </row>
    <row r="14" spans="1:9" x14ac:dyDescent="0.35">
      <c r="A14" s="3"/>
      <c r="B14" s="3"/>
      <c r="C14" s="3"/>
      <c r="D14" s="3"/>
      <c r="E14" s="3"/>
      <c r="F14" s="3"/>
      <c r="G14" s="3"/>
      <c r="H14" s="3"/>
      <c r="I14" s="3"/>
    </row>
    <row r="15" spans="1:9" x14ac:dyDescent="0.35">
      <c r="A15" s="6" t="s">
        <v>33</v>
      </c>
      <c r="B15" s="3" t="s">
        <v>34</v>
      </c>
      <c r="C15" s="3"/>
      <c r="D15" s="3"/>
      <c r="E15" s="3"/>
      <c r="F15" s="3"/>
      <c r="G15" s="3"/>
      <c r="H15" s="3"/>
      <c r="I15" s="3"/>
    </row>
    <row r="16" spans="1:9" x14ac:dyDescent="0.35">
      <c r="A16" s="3"/>
      <c r="B16" s="3" t="s">
        <v>35</v>
      </c>
      <c r="C16" s="3"/>
      <c r="D16" s="3"/>
      <c r="E16" s="3"/>
      <c r="F16" s="3"/>
      <c r="G16" s="3"/>
      <c r="H16" s="3"/>
      <c r="I16" s="3"/>
    </row>
    <row r="17" spans="1:9" x14ac:dyDescent="0.35">
      <c r="A17" s="3"/>
      <c r="B17" s="3"/>
      <c r="C17" s="3"/>
      <c r="D17" s="3"/>
      <c r="E17" s="3"/>
      <c r="F17" s="3"/>
      <c r="G17" s="3"/>
      <c r="H17" s="3"/>
      <c r="I17" s="3"/>
    </row>
    <row r="18" spans="1:9" x14ac:dyDescent="0.35">
      <c r="A18" s="3" t="s">
        <v>36</v>
      </c>
      <c r="B18" s="3" t="s">
        <v>37</v>
      </c>
      <c r="C18" s="3"/>
      <c r="D18" s="3"/>
      <c r="E18" s="3"/>
      <c r="F18" s="3"/>
      <c r="G18" s="3"/>
      <c r="H18" s="3"/>
      <c r="I18" s="3"/>
    </row>
    <row r="19" spans="1:9" x14ac:dyDescent="0.35">
      <c r="A19" s="3"/>
      <c r="B19" s="3" t="s">
        <v>38</v>
      </c>
      <c r="C19" s="3"/>
      <c r="D19" s="3" t="s">
        <v>39</v>
      </c>
      <c r="E19" s="3"/>
      <c r="F19" s="3"/>
      <c r="G19" s="3"/>
      <c r="H19" s="3"/>
      <c r="I19" s="3"/>
    </row>
    <row r="20" spans="1:9" x14ac:dyDescent="0.35">
      <c r="A20" s="3"/>
      <c r="B20" s="3" t="s">
        <v>40</v>
      </c>
      <c r="C20" s="3"/>
      <c r="D20" s="3"/>
      <c r="E20" s="3"/>
      <c r="F20" s="3"/>
      <c r="G20" s="3"/>
      <c r="H20" s="3"/>
      <c r="I20" s="3"/>
    </row>
    <row r="21" spans="1:9" x14ac:dyDescent="0.35">
      <c r="A21" s="3"/>
      <c r="B21" s="3" t="s">
        <v>41</v>
      </c>
      <c r="C21" s="3"/>
      <c r="D21" s="3" t="s">
        <v>39</v>
      </c>
      <c r="E21" s="3"/>
      <c r="F21" s="3"/>
      <c r="G21" s="3"/>
      <c r="H21" s="3"/>
      <c r="I21" s="3"/>
    </row>
    <row r="22" spans="1:9" x14ac:dyDescent="0.35">
      <c r="A22" s="3"/>
      <c r="B22" s="3"/>
      <c r="C22" s="3"/>
      <c r="D22" s="3"/>
      <c r="E22" s="3"/>
      <c r="F22" s="3"/>
      <c r="G22" s="3"/>
      <c r="H22" s="3"/>
      <c r="I22" s="3"/>
    </row>
    <row r="23" spans="1:9" x14ac:dyDescent="0.35">
      <c r="A23" s="3"/>
      <c r="B23" s="6" t="s">
        <v>42</v>
      </c>
      <c r="C23" s="3"/>
      <c r="D23" s="3"/>
      <c r="E23" s="3"/>
      <c r="F23" s="3"/>
      <c r="G23" s="3"/>
      <c r="H23" s="3"/>
      <c r="I23" s="3"/>
    </row>
    <row r="24" spans="1:9" x14ac:dyDescent="0.35">
      <c r="A24" s="3"/>
      <c r="B24" s="3"/>
      <c r="C24" s="3"/>
      <c r="D24" s="3"/>
      <c r="E24" s="3"/>
      <c r="F24" s="3"/>
      <c r="G24" s="3"/>
      <c r="H24" s="3"/>
      <c r="I24" s="3"/>
    </row>
    <row r="25" spans="1:9" x14ac:dyDescent="0.35">
      <c r="A25" s="3" t="s">
        <v>43</v>
      </c>
      <c r="B25" s="9">
        <v>12</v>
      </c>
      <c r="C25" s="3"/>
      <c r="D25" s="3"/>
      <c r="E25" s="3"/>
      <c r="F25" s="3"/>
      <c r="G25" s="3"/>
      <c r="H25" s="3"/>
      <c r="I25" s="3"/>
    </row>
    <row r="26" spans="1:9" x14ac:dyDescent="0.35">
      <c r="A26" s="10" t="s">
        <v>44</v>
      </c>
      <c r="B26" s="3"/>
      <c r="C26" s="3"/>
      <c r="D26" s="3"/>
      <c r="E26" s="3"/>
      <c r="F26" s="3"/>
      <c r="G26" s="3"/>
      <c r="H26" s="3"/>
      <c r="I26" s="3"/>
    </row>
    <row r="27" spans="1:9" x14ac:dyDescent="0.35">
      <c r="A27" s="10" t="s">
        <v>45</v>
      </c>
      <c r="B27" s="3"/>
      <c r="C27" s="3"/>
      <c r="D27" s="3"/>
      <c r="E27" s="3"/>
      <c r="F27" s="3"/>
      <c r="G27" s="3"/>
      <c r="H27" s="3"/>
      <c r="I27" s="3"/>
    </row>
    <row r="28" spans="1:9" x14ac:dyDescent="0.35">
      <c r="A28" s="10" t="s">
        <v>46</v>
      </c>
      <c r="B28" s="3"/>
      <c r="C28" s="3"/>
      <c r="D28" s="3"/>
      <c r="E28" s="3"/>
      <c r="F28" s="3"/>
      <c r="G28" s="3"/>
      <c r="H28" s="3"/>
      <c r="I28" s="3"/>
    </row>
    <row r="29" spans="1:9" x14ac:dyDescent="0.35">
      <c r="A29" s="10" t="s">
        <v>47</v>
      </c>
      <c r="B29" s="3"/>
      <c r="C29" s="3"/>
      <c r="D29" s="3"/>
      <c r="E29" s="3"/>
      <c r="F29" s="3"/>
      <c r="G29" s="3"/>
      <c r="H29" s="3"/>
      <c r="I29" s="3"/>
    </row>
    <row r="30" spans="1:9" x14ac:dyDescent="0.35">
      <c r="A30" s="11" t="s">
        <v>48</v>
      </c>
      <c r="B30" s="3"/>
      <c r="C30" s="3"/>
      <c r="D30" s="3"/>
      <c r="E30" s="3"/>
      <c r="F30" s="3"/>
      <c r="G30" s="3"/>
      <c r="H30" s="3"/>
      <c r="I30" s="3"/>
    </row>
    <row r="31" spans="1:9" x14ac:dyDescent="0.35">
      <c r="A31" s="3"/>
      <c r="B31" s="3"/>
      <c r="C31" s="3"/>
      <c r="D31" s="3"/>
      <c r="E31" s="3"/>
      <c r="F31" s="3"/>
      <c r="G31" s="3"/>
      <c r="H31" s="3"/>
      <c r="I31" s="3"/>
    </row>
    <row r="32" spans="1:9" x14ac:dyDescent="0.35">
      <c r="A32" s="11" t="s">
        <v>49</v>
      </c>
      <c r="B32" s="3"/>
      <c r="C32" s="3"/>
      <c r="D32" s="3"/>
      <c r="E32" s="3"/>
      <c r="F32" s="3"/>
      <c r="G32" s="3"/>
      <c r="H32" s="3"/>
      <c r="I32" s="3"/>
    </row>
    <row r="33" spans="1:9" x14ac:dyDescent="0.35">
      <c r="A33" s="11"/>
      <c r="B33" s="3"/>
      <c r="C33" s="3"/>
      <c r="D33" s="3"/>
      <c r="E33" s="3"/>
      <c r="F33" s="3"/>
      <c r="G33" s="3"/>
      <c r="H33" s="3"/>
      <c r="I33" s="3"/>
    </row>
    <row r="34" spans="1:9" x14ac:dyDescent="0.35">
      <c r="A34" s="11" t="s">
        <v>50</v>
      </c>
      <c r="B34" s="3"/>
      <c r="C34" s="3"/>
      <c r="D34" s="3"/>
      <c r="E34" s="3"/>
      <c r="F34" s="3"/>
      <c r="G34" s="3"/>
      <c r="H34" s="3"/>
      <c r="I34" s="3"/>
    </row>
    <row r="35" spans="1:9" x14ac:dyDescent="0.35">
      <c r="A35" s="3" t="s">
        <v>51</v>
      </c>
      <c r="B35" s="3"/>
      <c r="C35" s="3"/>
      <c r="D35" s="3"/>
      <c r="E35" s="3"/>
      <c r="F35" s="3"/>
      <c r="G35" s="3"/>
      <c r="H35" s="3"/>
      <c r="I35" s="3"/>
    </row>
    <row r="36" spans="1:9" x14ac:dyDescent="0.35">
      <c r="A36" s="3"/>
      <c r="B36" s="3"/>
      <c r="C36" s="3"/>
      <c r="D36" s="3"/>
      <c r="E36" s="3"/>
      <c r="F36" s="3"/>
      <c r="G36" s="3"/>
      <c r="H36" s="3"/>
      <c r="I36" s="3"/>
    </row>
    <row r="37" spans="1:9" x14ac:dyDescent="0.35">
      <c r="A37" s="3"/>
      <c r="B37" s="3" t="s">
        <v>52</v>
      </c>
      <c r="C37" s="3"/>
      <c r="D37" s="3"/>
      <c r="E37" s="3"/>
      <c r="F37" s="3"/>
      <c r="G37" s="3"/>
      <c r="H37" s="3"/>
      <c r="I37" s="3"/>
    </row>
    <row r="38" spans="1:9" x14ac:dyDescent="0.35">
      <c r="A38" s="11" t="s">
        <v>53</v>
      </c>
      <c r="B38" s="7" t="s">
        <v>54</v>
      </c>
      <c r="C38" s="3" t="s">
        <v>55</v>
      </c>
      <c r="D38" s="3"/>
      <c r="E38" s="3"/>
      <c r="F38" s="3"/>
      <c r="G38" s="3"/>
      <c r="H38" s="3"/>
      <c r="I38" s="3"/>
    </row>
    <row r="39" spans="1:9" x14ac:dyDescent="0.35">
      <c r="A39" s="11" t="s">
        <v>56</v>
      </c>
      <c r="B39" s="7">
        <v>2</v>
      </c>
      <c r="C39" s="3" t="s">
        <v>57</v>
      </c>
      <c r="D39" s="3"/>
      <c r="E39" s="3"/>
      <c r="F39" s="3"/>
      <c r="G39" s="3"/>
      <c r="H39" s="3"/>
      <c r="I39" s="3"/>
    </row>
    <row r="40" spans="1:9" x14ac:dyDescent="0.35">
      <c r="A40" s="12" t="s">
        <v>56</v>
      </c>
      <c r="B40" s="7"/>
      <c r="C40" s="3" t="s">
        <v>58</v>
      </c>
      <c r="D40" s="3"/>
      <c r="E40" s="3"/>
      <c r="F40" s="3"/>
      <c r="G40" s="3"/>
      <c r="H40" s="3"/>
      <c r="I40" s="3"/>
    </row>
    <row r="41" spans="1:9" x14ac:dyDescent="0.35">
      <c r="A41" s="13" t="s">
        <v>59</v>
      </c>
      <c r="B41" s="7">
        <v>1</v>
      </c>
      <c r="C41" s="3" t="s">
        <v>58</v>
      </c>
      <c r="D41" s="3"/>
      <c r="E41" s="3"/>
      <c r="F41" s="3"/>
      <c r="G41" s="3"/>
      <c r="H41" s="3"/>
      <c r="I41" s="3"/>
    </row>
    <row r="42" spans="1:9" x14ac:dyDescent="0.35">
      <c r="A42" s="14" t="s">
        <v>60</v>
      </c>
      <c r="B42" s="7">
        <v>2</v>
      </c>
      <c r="C42" s="3" t="s">
        <v>58</v>
      </c>
      <c r="D42" s="3"/>
      <c r="E42" s="3"/>
      <c r="F42" s="3"/>
      <c r="G42" s="3"/>
      <c r="H42" s="3"/>
      <c r="I42" s="3"/>
    </row>
    <row r="43" spans="1:9" x14ac:dyDescent="0.35">
      <c r="A43" s="15" t="s">
        <v>61</v>
      </c>
      <c r="B43" s="7"/>
      <c r="C43" s="3" t="s">
        <v>58</v>
      </c>
      <c r="D43" s="3"/>
      <c r="E43" s="3"/>
      <c r="F43" s="3"/>
      <c r="G43" s="3"/>
      <c r="H43" s="3"/>
      <c r="I43" s="3"/>
    </row>
    <row r="44" spans="1:9" x14ac:dyDescent="0.35">
      <c r="A44" s="11" t="s">
        <v>62</v>
      </c>
      <c r="B44" s="7">
        <v>2</v>
      </c>
      <c r="C44" s="3" t="s">
        <v>63</v>
      </c>
      <c r="D44" s="3"/>
      <c r="E44" s="3"/>
      <c r="F44" s="3"/>
      <c r="G44" s="3"/>
      <c r="H44" s="3"/>
      <c r="I44" s="3"/>
    </row>
    <row r="45" spans="1:9" x14ac:dyDescent="0.35">
      <c r="A45" s="12" t="s">
        <v>62</v>
      </c>
      <c r="B45" s="7"/>
      <c r="C45" s="3" t="s">
        <v>64</v>
      </c>
      <c r="D45" s="3"/>
      <c r="E45" s="3"/>
      <c r="F45" s="3"/>
      <c r="G45" s="3"/>
      <c r="H45" s="3"/>
      <c r="I45" s="3"/>
    </row>
    <row r="46" spans="1:9" x14ac:dyDescent="0.35">
      <c r="A46" s="13" t="s">
        <v>65</v>
      </c>
      <c r="B46" s="7">
        <v>2</v>
      </c>
      <c r="C46" s="3" t="s">
        <v>64</v>
      </c>
      <c r="D46" s="3"/>
      <c r="E46" s="3"/>
      <c r="F46" s="3"/>
      <c r="G46" s="3"/>
      <c r="H46" s="3"/>
      <c r="I46" s="3"/>
    </row>
    <row r="47" spans="1:9" x14ac:dyDescent="0.35">
      <c r="A47" s="14" t="s">
        <v>65</v>
      </c>
      <c r="B47" s="7"/>
      <c r="C47" s="3" t="s">
        <v>64</v>
      </c>
      <c r="D47" s="3"/>
      <c r="E47" s="3"/>
      <c r="F47" s="3"/>
      <c r="G47" s="3"/>
      <c r="H47" s="3"/>
      <c r="I47" s="3"/>
    </row>
    <row r="48" spans="1:9" x14ac:dyDescent="0.35">
      <c r="A48" s="15" t="s">
        <v>66</v>
      </c>
      <c r="B48" s="7">
        <v>1</v>
      </c>
      <c r="C48" s="3" t="s">
        <v>64</v>
      </c>
      <c r="D48" s="3"/>
      <c r="E48" s="3"/>
      <c r="F48" s="3"/>
      <c r="G48" s="3"/>
      <c r="H48" s="3"/>
      <c r="I48" s="3"/>
    </row>
    <row r="49" spans="1:9" x14ac:dyDescent="0.35">
      <c r="A49" s="11" t="s">
        <v>67</v>
      </c>
      <c r="B49" s="7" t="s">
        <v>68</v>
      </c>
      <c r="C49" s="3"/>
      <c r="D49" s="3"/>
      <c r="E49" s="3"/>
      <c r="F49" s="3"/>
      <c r="G49" s="3"/>
      <c r="H49" s="3"/>
      <c r="I49" s="3"/>
    </row>
    <row r="50" spans="1:9" x14ac:dyDescent="0.35">
      <c r="A50" s="11" t="s">
        <v>69</v>
      </c>
      <c r="B50" s="7" t="s">
        <v>70</v>
      </c>
      <c r="C50" s="3"/>
      <c r="D50" s="3"/>
      <c r="E50" s="3"/>
      <c r="F50" s="3"/>
      <c r="G50" s="3"/>
      <c r="H50" s="3"/>
      <c r="I50" s="3"/>
    </row>
    <row r="51" spans="1:9" x14ac:dyDescent="0.35">
      <c r="A51" s="3"/>
      <c r="B51" s="3"/>
      <c r="C51" s="3"/>
      <c r="D51" s="3"/>
      <c r="E51" s="3"/>
      <c r="F51" s="3"/>
      <c r="G51" s="3"/>
      <c r="H51" s="3"/>
      <c r="I51" s="3"/>
    </row>
    <row r="52" spans="1:9" x14ac:dyDescent="0.35">
      <c r="A52" s="11" t="s">
        <v>71</v>
      </c>
      <c r="B52" s="3"/>
      <c r="C52" s="3"/>
      <c r="D52" s="3"/>
      <c r="E52" s="3"/>
      <c r="F52" s="3"/>
      <c r="G52" s="3"/>
      <c r="H52" s="3"/>
      <c r="I52" s="3"/>
    </row>
    <row r="53" spans="1:9" x14ac:dyDescent="0.35">
      <c r="A53" s="11" t="s">
        <v>72</v>
      </c>
      <c r="B53" s="3"/>
      <c r="C53" s="3"/>
      <c r="D53" s="3"/>
      <c r="E53" s="3"/>
      <c r="F53" s="3"/>
      <c r="G53" s="3"/>
      <c r="H53" s="3"/>
      <c r="I5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30E9B-9321-4D1D-8C66-63E9D73502F6}">
  <sheetPr>
    <tabColor theme="5"/>
  </sheetPr>
  <dimension ref="A1:AQ99"/>
  <sheetViews>
    <sheetView zoomScale="70" zoomScaleNormal="70" workbookViewId="0">
      <selection activeCell="V1" sqref="V1:V1048576"/>
    </sheetView>
  </sheetViews>
  <sheetFormatPr defaultRowHeight="14.5" x14ac:dyDescent="0.35"/>
  <cols>
    <col min="1" max="1" width="13.26953125" bestFit="1" customWidth="1"/>
    <col min="2" max="2" width="22.7265625" bestFit="1" customWidth="1"/>
    <col min="3" max="3" width="12.81640625" bestFit="1" customWidth="1"/>
    <col min="4" max="4" width="12.26953125" bestFit="1" customWidth="1"/>
    <col min="5" max="5" width="12.81640625" bestFit="1" customWidth="1"/>
    <col min="6" max="6" width="10.7265625" bestFit="1" customWidth="1"/>
    <col min="7" max="7" width="11.26953125" bestFit="1" customWidth="1"/>
    <col min="8" max="8" width="12.1796875" bestFit="1" customWidth="1"/>
    <col min="9" max="9" width="12.26953125" bestFit="1" customWidth="1"/>
    <col min="10" max="10" width="8" bestFit="1" customWidth="1"/>
    <col min="11" max="11" width="7.81640625" bestFit="1" customWidth="1"/>
    <col min="12" max="12" width="8.453125" bestFit="1" customWidth="1"/>
    <col min="13" max="13" width="8.81640625" bestFit="1" customWidth="1"/>
    <col min="14" max="14" width="12.81640625" bestFit="1" customWidth="1"/>
    <col min="15" max="15" width="8.26953125" bestFit="1" customWidth="1"/>
    <col min="16" max="16" width="12.26953125" bestFit="1" customWidth="1"/>
    <col min="17" max="17" width="12.7265625" bestFit="1" customWidth="1"/>
    <col min="18" max="18" width="10.54296875" bestFit="1" customWidth="1"/>
    <col min="19" max="19" width="10.1796875" bestFit="1" customWidth="1"/>
    <col min="20" max="20" width="12" bestFit="1" customWidth="1"/>
    <col min="21" max="21" width="12.26953125" bestFit="1" customWidth="1"/>
    <col min="22" max="22" width="38.26953125" bestFit="1" customWidth="1"/>
    <col min="23" max="23" width="17.26953125" bestFit="1" customWidth="1"/>
    <col min="24" max="24" width="33.453125" bestFit="1" customWidth="1"/>
    <col min="25" max="41" width="12" bestFit="1" customWidth="1"/>
    <col min="42" max="42" width="9.26953125" bestFit="1" customWidth="1"/>
    <col min="43" max="43" width="12" bestFit="1" customWidth="1"/>
  </cols>
  <sheetData>
    <row r="1" spans="1:43" x14ac:dyDescent="0.35">
      <c r="A1" s="45" t="s">
        <v>111</v>
      </c>
      <c r="B1" s="45" t="s">
        <v>112</v>
      </c>
      <c r="C1" s="45" t="s">
        <v>298</v>
      </c>
      <c r="D1" s="46" t="s">
        <v>152</v>
      </c>
      <c r="E1" s="46" t="s">
        <v>153</v>
      </c>
      <c r="F1" s="46" t="s">
        <v>154</v>
      </c>
      <c r="G1" s="46" t="s">
        <v>155</v>
      </c>
      <c r="H1" s="46" t="s">
        <v>156</v>
      </c>
      <c r="I1" s="46" t="s">
        <v>157</v>
      </c>
      <c r="J1" s="46" t="s">
        <v>113</v>
      </c>
      <c r="K1" s="46" t="s">
        <v>114</v>
      </c>
      <c r="L1" s="46" t="s">
        <v>115</v>
      </c>
      <c r="M1" s="46" t="s">
        <v>116</v>
      </c>
      <c r="N1" s="46" t="s">
        <v>117</v>
      </c>
      <c r="O1" s="46" t="s">
        <v>118</v>
      </c>
      <c r="P1" s="46" t="s">
        <v>158</v>
      </c>
      <c r="Q1" s="46" t="s">
        <v>159</v>
      </c>
      <c r="R1" s="46" t="s">
        <v>160</v>
      </c>
      <c r="S1" s="46" t="s">
        <v>161</v>
      </c>
      <c r="T1" s="46" t="s">
        <v>162</v>
      </c>
      <c r="U1" s="46" t="s">
        <v>163</v>
      </c>
      <c r="V1" s="46" t="s">
        <v>317</v>
      </c>
      <c r="X1" t="s">
        <v>299</v>
      </c>
    </row>
    <row r="2" spans="1:43" x14ac:dyDescent="0.35">
      <c r="A2" s="46" t="s">
        <v>11</v>
      </c>
      <c r="B2" s="45" t="s">
        <v>124</v>
      </c>
      <c r="C2" s="46" t="s">
        <v>296</v>
      </c>
      <c r="D2" s="46">
        <v>5</v>
      </c>
      <c r="E2" s="46">
        <v>1</v>
      </c>
      <c r="F2" s="46">
        <v>2</v>
      </c>
      <c r="G2" s="46">
        <v>0</v>
      </c>
      <c r="H2" s="46">
        <v>1</v>
      </c>
      <c r="I2" s="46">
        <v>0</v>
      </c>
      <c r="J2" s="46">
        <v>0</v>
      </c>
      <c r="K2" s="46">
        <v>1</v>
      </c>
      <c r="L2" s="46">
        <v>0</v>
      </c>
      <c r="M2" s="46">
        <v>4</v>
      </c>
      <c r="N2" s="46">
        <v>4</v>
      </c>
      <c r="O2" s="46">
        <v>2</v>
      </c>
      <c r="P2" s="46">
        <v>5</v>
      </c>
      <c r="Q2" s="46">
        <v>0</v>
      </c>
      <c r="R2" s="46">
        <v>3</v>
      </c>
      <c r="S2" s="46">
        <v>0</v>
      </c>
      <c r="T2" s="46">
        <v>2</v>
      </c>
      <c r="U2" s="46">
        <v>0</v>
      </c>
      <c r="V2" s="46"/>
    </row>
    <row r="3" spans="1:43" x14ac:dyDescent="0.35">
      <c r="A3" s="81" t="s">
        <v>10</v>
      </c>
      <c r="B3" s="82" t="s">
        <v>124</v>
      </c>
      <c r="C3" s="81" t="s">
        <v>297</v>
      </c>
      <c r="D3" s="81">
        <v>3</v>
      </c>
      <c r="E3" s="81">
        <v>0</v>
      </c>
      <c r="F3" s="81">
        <v>1</v>
      </c>
      <c r="G3" s="81">
        <v>0</v>
      </c>
      <c r="H3" s="81">
        <v>3</v>
      </c>
      <c r="I3" s="81">
        <v>0</v>
      </c>
      <c r="J3" s="81">
        <v>0</v>
      </c>
      <c r="K3" s="81">
        <v>4</v>
      </c>
      <c r="L3" s="81">
        <v>0</v>
      </c>
      <c r="M3" s="81">
        <v>1</v>
      </c>
      <c r="N3" s="81">
        <v>3</v>
      </c>
      <c r="O3" s="81">
        <v>3</v>
      </c>
      <c r="P3" s="81">
        <v>2</v>
      </c>
      <c r="Q3" s="81">
        <v>0</v>
      </c>
      <c r="R3" s="81">
        <v>1</v>
      </c>
      <c r="S3" s="81">
        <v>0</v>
      </c>
      <c r="T3" s="81">
        <v>4</v>
      </c>
      <c r="U3" s="81">
        <v>0</v>
      </c>
      <c r="V3" s="46"/>
      <c r="X3" t="s">
        <v>300</v>
      </c>
      <c r="Y3" t="s">
        <v>152</v>
      </c>
      <c r="Z3" t="s">
        <v>153</v>
      </c>
      <c r="AA3" t="s">
        <v>154</v>
      </c>
      <c r="AB3" t="s">
        <v>155</v>
      </c>
      <c r="AC3" t="s">
        <v>156</v>
      </c>
      <c r="AD3" t="s">
        <v>157</v>
      </c>
      <c r="AE3" t="s">
        <v>113</v>
      </c>
      <c r="AF3" t="s">
        <v>114</v>
      </c>
      <c r="AG3" t="s">
        <v>115</v>
      </c>
      <c r="AH3" t="s">
        <v>116</v>
      </c>
      <c r="AI3" t="s">
        <v>117</v>
      </c>
      <c r="AJ3" t="s">
        <v>118</v>
      </c>
      <c r="AK3" t="s">
        <v>158</v>
      </c>
      <c r="AL3" t="s">
        <v>159</v>
      </c>
      <c r="AM3" t="s">
        <v>160</v>
      </c>
      <c r="AN3" t="s">
        <v>161</v>
      </c>
      <c r="AO3" t="s">
        <v>162</v>
      </c>
      <c r="AP3" t="s">
        <v>163</v>
      </c>
      <c r="AQ3" t="s">
        <v>301</v>
      </c>
    </row>
    <row r="4" spans="1:43" ht="15" thickBot="1" x14ac:dyDescent="0.4">
      <c r="A4" s="83" t="s">
        <v>8</v>
      </c>
      <c r="B4" s="84" t="s">
        <v>123</v>
      </c>
      <c r="C4" s="83" t="s">
        <v>296</v>
      </c>
      <c r="D4" s="83">
        <v>4</v>
      </c>
      <c r="E4" s="83">
        <v>2</v>
      </c>
      <c r="F4" s="83">
        <v>0</v>
      </c>
      <c r="G4" s="83">
        <v>0</v>
      </c>
      <c r="H4" s="83">
        <v>2</v>
      </c>
      <c r="I4" s="83">
        <v>0</v>
      </c>
      <c r="J4" s="83">
        <v>2</v>
      </c>
      <c r="K4" s="83">
        <v>2</v>
      </c>
      <c r="L4" s="83">
        <v>1</v>
      </c>
      <c r="M4" s="83">
        <v>3</v>
      </c>
      <c r="N4" s="83">
        <v>2</v>
      </c>
      <c r="O4" s="83">
        <v>1</v>
      </c>
      <c r="P4" s="83">
        <v>4</v>
      </c>
      <c r="Q4" s="83">
        <v>1</v>
      </c>
      <c r="R4" s="83">
        <v>0</v>
      </c>
      <c r="S4" s="83">
        <v>0</v>
      </c>
      <c r="T4" s="83">
        <v>3</v>
      </c>
      <c r="U4" s="83">
        <v>0</v>
      </c>
      <c r="V4" s="46"/>
      <c r="X4" s="77" t="s">
        <v>296</v>
      </c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</row>
    <row r="5" spans="1:43" x14ac:dyDescent="0.35">
      <c r="A5" s="81" t="s">
        <v>9</v>
      </c>
      <c r="B5" s="82" t="s">
        <v>123</v>
      </c>
      <c r="C5" s="81" t="s">
        <v>297</v>
      </c>
      <c r="D5" s="81">
        <v>3</v>
      </c>
      <c r="E5" s="81">
        <v>1</v>
      </c>
      <c r="F5" s="81">
        <v>0</v>
      </c>
      <c r="G5" s="81">
        <v>0</v>
      </c>
      <c r="H5" s="81">
        <v>3</v>
      </c>
      <c r="I5" s="81">
        <v>0</v>
      </c>
      <c r="J5" s="81">
        <v>1</v>
      </c>
      <c r="K5" s="81">
        <v>4</v>
      </c>
      <c r="L5" s="81">
        <v>0</v>
      </c>
      <c r="M5" s="81">
        <v>0</v>
      </c>
      <c r="N5" s="81">
        <v>1</v>
      </c>
      <c r="O5" s="81">
        <v>2</v>
      </c>
      <c r="P5" s="81">
        <v>2</v>
      </c>
      <c r="Q5" s="81">
        <v>0</v>
      </c>
      <c r="R5" s="81">
        <v>0</v>
      </c>
      <c r="S5" s="81">
        <v>0</v>
      </c>
      <c r="T5" s="81">
        <v>4</v>
      </c>
      <c r="U5" s="81">
        <v>0</v>
      </c>
      <c r="V5" s="46" t="s">
        <v>268</v>
      </c>
      <c r="X5" t="s">
        <v>302</v>
      </c>
      <c r="Y5">
        <v>16</v>
      </c>
      <c r="Z5">
        <v>16</v>
      </c>
      <c r="AA5">
        <v>16</v>
      </c>
      <c r="AB5">
        <v>16</v>
      </c>
      <c r="AC5">
        <v>16</v>
      </c>
      <c r="AD5">
        <v>16</v>
      </c>
      <c r="AE5">
        <v>16</v>
      </c>
      <c r="AF5">
        <v>16</v>
      </c>
      <c r="AG5">
        <v>16</v>
      </c>
      <c r="AH5">
        <v>16</v>
      </c>
      <c r="AI5">
        <v>16</v>
      </c>
      <c r="AJ5">
        <v>16</v>
      </c>
      <c r="AK5">
        <v>16</v>
      </c>
      <c r="AL5">
        <v>16</v>
      </c>
      <c r="AM5">
        <v>16</v>
      </c>
      <c r="AN5">
        <v>16</v>
      </c>
      <c r="AO5">
        <v>16</v>
      </c>
      <c r="AP5">
        <v>16</v>
      </c>
      <c r="AQ5">
        <v>288</v>
      </c>
    </row>
    <row r="6" spans="1:43" x14ac:dyDescent="0.35">
      <c r="A6" s="84" t="s">
        <v>87</v>
      </c>
      <c r="B6" s="84" t="s">
        <v>142</v>
      </c>
      <c r="C6" s="83" t="s">
        <v>296</v>
      </c>
      <c r="D6" s="84">
        <v>0</v>
      </c>
      <c r="E6" s="84">
        <v>1</v>
      </c>
      <c r="F6" s="84">
        <v>0</v>
      </c>
      <c r="G6" s="84">
        <v>0</v>
      </c>
      <c r="H6" s="84">
        <v>3</v>
      </c>
      <c r="I6" s="84">
        <v>0</v>
      </c>
      <c r="J6" s="84">
        <v>1</v>
      </c>
      <c r="K6" s="84">
        <v>0</v>
      </c>
      <c r="L6" s="84">
        <v>0</v>
      </c>
      <c r="M6" s="84">
        <v>2</v>
      </c>
      <c r="N6" s="84">
        <v>3</v>
      </c>
      <c r="O6" s="84">
        <v>2</v>
      </c>
      <c r="P6" s="84">
        <v>0</v>
      </c>
      <c r="Q6" s="84">
        <v>2</v>
      </c>
      <c r="R6" s="84">
        <v>0</v>
      </c>
      <c r="S6" s="84">
        <v>1</v>
      </c>
      <c r="T6" s="84">
        <v>2</v>
      </c>
      <c r="U6" s="84">
        <v>0</v>
      </c>
      <c r="V6" s="46"/>
      <c r="X6" t="s">
        <v>303</v>
      </c>
      <c r="Y6">
        <v>31</v>
      </c>
      <c r="Z6">
        <v>37</v>
      </c>
      <c r="AA6">
        <v>3</v>
      </c>
      <c r="AB6">
        <v>5</v>
      </c>
      <c r="AC6">
        <v>12</v>
      </c>
      <c r="AD6">
        <v>1</v>
      </c>
      <c r="AE6">
        <v>4</v>
      </c>
      <c r="AF6">
        <v>17</v>
      </c>
      <c r="AG6">
        <v>11</v>
      </c>
      <c r="AH6">
        <v>27</v>
      </c>
      <c r="AI6">
        <v>43</v>
      </c>
      <c r="AJ6">
        <v>27</v>
      </c>
      <c r="AK6">
        <v>27</v>
      </c>
      <c r="AL6">
        <v>32</v>
      </c>
      <c r="AM6">
        <v>6</v>
      </c>
      <c r="AN6">
        <v>9</v>
      </c>
      <c r="AO6">
        <v>14</v>
      </c>
      <c r="AP6">
        <v>2</v>
      </c>
      <c r="AQ6">
        <v>308</v>
      </c>
    </row>
    <row r="7" spans="1:43" x14ac:dyDescent="0.35">
      <c r="A7" s="82" t="s">
        <v>88</v>
      </c>
      <c r="B7" s="82" t="s">
        <v>142</v>
      </c>
      <c r="C7" s="81" t="s">
        <v>297</v>
      </c>
      <c r="D7" s="82">
        <v>1</v>
      </c>
      <c r="E7" s="82">
        <v>1</v>
      </c>
      <c r="F7" s="82">
        <v>0</v>
      </c>
      <c r="G7" s="82">
        <v>0</v>
      </c>
      <c r="H7" s="82">
        <v>2</v>
      </c>
      <c r="I7" s="82">
        <v>0</v>
      </c>
      <c r="J7" s="82">
        <v>1</v>
      </c>
      <c r="K7" s="82">
        <v>2</v>
      </c>
      <c r="L7" s="82">
        <v>0</v>
      </c>
      <c r="M7" s="82">
        <v>1</v>
      </c>
      <c r="N7" s="82">
        <v>3</v>
      </c>
      <c r="O7" s="82">
        <v>2</v>
      </c>
      <c r="P7" s="82">
        <v>1</v>
      </c>
      <c r="Q7" s="82">
        <v>1</v>
      </c>
      <c r="R7" s="82">
        <v>0</v>
      </c>
      <c r="S7" s="82">
        <v>0</v>
      </c>
      <c r="T7" s="82">
        <v>1</v>
      </c>
      <c r="U7" s="82">
        <v>0</v>
      </c>
      <c r="V7" s="46"/>
      <c r="X7" t="s">
        <v>304</v>
      </c>
      <c r="Y7">
        <v>1.9375</v>
      </c>
      <c r="Z7">
        <v>2.3125</v>
      </c>
      <c r="AA7">
        <v>0.1875</v>
      </c>
      <c r="AB7">
        <v>0.3125</v>
      </c>
      <c r="AC7">
        <v>0.75</v>
      </c>
      <c r="AD7">
        <v>6.25E-2</v>
      </c>
      <c r="AE7">
        <v>0.25</v>
      </c>
      <c r="AF7">
        <v>1.0625</v>
      </c>
      <c r="AG7">
        <v>0.6875</v>
      </c>
      <c r="AH7">
        <v>1.6875</v>
      </c>
      <c r="AI7">
        <v>2.6875</v>
      </c>
      <c r="AJ7">
        <v>1.6875</v>
      </c>
      <c r="AK7">
        <v>1.6875</v>
      </c>
      <c r="AL7">
        <v>2</v>
      </c>
      <c r="AM7">
        <v>0.375</v>
      </c>
      <c r="AN7">
        <v>0.5625</v>
      </c>
      <c r="AO7">
        <v>0.875</v>
      </c>
      <c r="AP7">
        <v>0.125</v>
      </c>
      <c r="AQ7">
        <v>1.0694444444444444</v>
      </c>
    </row>
    <row r="8" spans="1:43" x14ac:dyDescent="0.35">
      <c r="A8" s="83" t="s">
        <v>73</v>
      </c>
      <c r="B8" s="84" t="s">
        <v>119</v>
      </c>
      <c r="C8" s="83" t="s">
        <v>296</v>
      </c>
      <c r="D8" s="83">
        <v>2</v>
      </c>
      <c r="E8" s="83">
        <v>5</v>
      </c>
      <c r="F8" s="83">
        <v>0</v>
      </c>
      <c r="G8" s="83">
        <v>0</v>
      </c>
      <c r="H8" s="83">
        <v>0</v>
      </c>
      <c r="I8" s="83">
        <v>0</v>
      </c>
      <c r="J8" s="83">
        <v>0</v>
      </c>
      <c r="K8" s="83">
        <v>2</v>
      </c>
      <c r="L8" s="83">
        <v>1</v>
      </c>
      <c r="M8" s="83">
        <v>0</v>
      </c>
      <c r="N8" s="83">
        <v>2</v>
      </c>
      <c r="O8" s="83">
        <v>2</v>
      </c>
      <c r="P8" s="83">
        <v>1</v>
      </c>
      <c r="Q8" s="83">
        <v>4</v>
      </c>
      <c r="R8" s="83">
        <v>0</v>
      </c>
      <c r="S8" s="83">
        <v>0</v>
      </c>
      <c r="T8" s="83">
        <v>1</v>
      </c>
      <c r="U8" s="83">
        <v>0</v>
      </c>
      <c r="V8" s="46"/>
      <c r="X8" t="s">
        <v>305</v>
      </c>
      <c r="Y8">
        <v>2.5958333333333332</v>
      </c>
      <c r="Z8">
        <v>1.9624999999999999</v>
      </c>
      <c r="AA8">
        <v>0.29583333333333334</v>
      </c>
      <c r="AB8">
        <v>1.0291666666666666</v>
      </c>
      <c r="AC8">
        <v>1</v>
      </c>
      <c r="AD8">
        <v>6.25E-2</v>
      </c>
      <c r="AE8">
        <v>0.33333333333333331</v>
      </c>
      <c r="AF8">
        <v>0.32916666666666666</v>
      </c>
      <c r="AG8">
        <v>0.62916666666666665</v>
      </c>
      <c r="AH8">
        <v>1.5625</v>
      </c>
      <c r="AI8">
        <v>1.0291666666666666</v>
      </c>
      <c r="AJ8">
        <v>0.49583333333333335</v>
      </c>
      <c r="AK8">
        <v>2.7625000000000002</v>
      </c>
      <c r="AL8">
        <v>2.6666666666666665</v>
      </c>
      <c r="AM8">
        <v>0.78333333333333333</v>
      </c>
      <c r="AN8">
        <v>1.1958333333333333</v>
      </c>
      <c r="AO8">
        <v>0.91666666666666663</v>
      </c>
      <c r="AP8">
        <v>0.25</v>
      </c>
      <c r="AQ8">
        <v>1.7024777390631047</v>
      </c>
    </row>
    <row r="9" spans="1:43" x14ac:dyDescent="0.35">
      <c r="A9" s="81" t="s">
        <v>74</v>
      </c>
      <c r="B9" s="82" t="s">
        <v>119</v>
      </c>
      <c r="C9" s="81" t="s">
        <v>297</v>
      </c>
      <c r="D9" s="81">
        <v>2</v>
      </c>
      <c r="E9" s="81">
        <v>4</v>
      </c>
      <c r="F9" s="81">
        <v>0</v>
      </c>
      <c r="G9" s="81">
        <v>0</v>
      </c>
      <c r="H9" s="81">
        <v>1</v>
      </c>
      <c r="I9" s="81">
        <v>0</v>
      </c>
      <c r="J9" s="81">
        <v>0</v>
      </c>
      <c r="K9" s="81">
        <v>5</v>
      </c>
      <c r="L9" s="81">
        <v>0</v>
      </c>
      <c r="M9" s="81">
        <v>0</v>
      </c>
      <c r="N9" s="81">
        <v>1</v>
      </c>
      <c r="O9" s="81">
        <v>3</v>
      </c>
      <c r="P9" s="81">
        <v>1</v>
      </c>
      <c r="Q9" s="81">
        <v>3</v>
      </c>
      <c r="R9" s="81">
        <v>0</v>
      </c>
      <c r="S9" s="81">
        <v>0</v>
      </c>
      <c r="T9" s="81">
        <v>2</v>
      </c>
      <c r="U9" s="81">
        <v>0</v>
      </c>
      <c r="V9" s="46"/>
    </row>
    <row r="10" spans="1:43" ht="15" thickBot="1" x14ac:dyDescent="0.4">
      <c r="A10" s="83" t="s">
        <v>4</v>
      </c>
      <c r="B10" s="84" t="s">
        <v>125</v>
      </c>
      <c r="C10" s="83" t="s">
        <v>296</v>
      </c>
      <c r="D10" s="83">
        <v>1</v>
      </c>
      <c r="E10" s="83">
        <v>4</v>
      </c>
      <c r="F10" s="83">
        <v>0</v>
      </c>
      <c r="G10" s="83">
        <v>0</v>
      </c>
      <c r="H10" s="83">
        <v>0</v>
      </c>
      <c r="I10" s="83">
        <v>0</v>
      </c>
      <c r="J10" s="83">
        <v>0</v>
      </c>
      <c r="K10" s="83">
        <v>2</v>
      </c>
      <c r="L10" s="83">
        <v>2</v>
      </c>
      <c r="M10" s="83">
        <v>1</v>
      </c>
      <c r="N10" s="83">
        <v>1</v>
      </c>
      <c r="O10" s="83">
        <v>1</v>
      </c>
      <c r="P10" s="83">
        <v>1</v>
      </c>
      <c r="Q10" s="83">
        <v>5</v>
      </c>
      <c r="R10" s="83">
        <v>1</v>
      </c>
      <c r="S10" s="83">
        <v>0</v>
      </c>
      <c r="T10" s="83">
        <v>0</v>
      </c>
      <c r="U10" s="83">
        <v>0</v>
      </c>
      <c r="V10" s="46" t="s">
        <v>269</v>
      </c>
      <c r="X10" s="77" t="s">
        <v>297</v>
      </c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</row>
    <row r="11" spans="1:43" x14ac:dyDescent="0.35">
      <c r="A11" s="81" t="s">
        <v>5</v>
      </c>
      <c r="B11" s="82" t="s">
        <v>125</v>
      </c>
      <c r="C11" s="81" t="s">
        <v>297</v>
      </c>
      <c r="D11" s="81">
        <v>1</v>
      </c>
      <c r="E11" s="81">
        <v>5</v>
      </c>
      <c r="F11" s="81">
        <v>0</v>
      </c>
      <c r="G11" s="81">
        <v>0</v>
      </c>
      <c r="H11" s="81">
        <v>0</v>
      </c>
      <c r="I11" s="81">
        <v>0</v>
      </c>
      <c r="J11" s="81">
        <v>0</v>
      </c>
      <c r="K11" s="81">
        <v>5</v>
      </c>
      <c r="L11" s="81">
        <v>0</v>
      </c>
      <c r="M11" s="81">
        <v>0</v>
      </c>
      <c r="N11" s="81">
        <v>0</v>
      </c>
      <c r="O11" s="81">
        <v>2</v>
      </c>
      <c r="P11" s="81">
        <v>1</v>
      </c>
      <c r="Q11" s="81">
        <v>5</v>
      </c>
      <c r="R11" s="81">
        <v>0</v>
      </c>
      <c r="S11" s="81">
        <v>0</v>
      </c>
      <c r="T11" s="81">
        <v>0</v>
      </c>
      <c r="U11" s="81">
        <v>0</v>
      </c>
      <c r="V11" s="46" t="s">
        <v>270</v>
      </c>
      <c r="X11" t="s">
        <v>302</v>
      </c>
      <c r="Y11">
        <v>16</v>
      </c>
      <c r="Z11">
        <v>16</v>
      </c>
      <c r="AA11">
        <v>16</v>
      </c>
      <c r="AB11">
        <v>16</v>
      </c>
      <c r="AC11">
        <v>16</v>
      </c>
      <c r="AD11">
        <v>16</v>
      </c>
      <c r="AE11">
        <v>16</v>
      </c>
      <c r="AF11">
        <v>16</v>
      </c>
      <c r="AG11">
        <v>16</v>
      </c>
      <c r="AH11">
        <v>16</v>
      </c>
      <c r="AI11">
        <v>16</v>
      </c>
      <c r="AJ11">
        <v>16</v>
      </c>
      <c r="AK11">
        <v>16</v>
      </c>
      <c r="AL11">
        <v>16</v>
      </c>
      <c r="AM11">
        <v>16</v>
      </c>
      <c r="AN11">
        <v>16</v>
      </c>
      <c r="AO11">
        <v>16</v>
      </c>
      <c r="AP11">
        <v>16</v>
      </c>
      <c r="AQ11">
        <v>288</v>
      </c>
    </row>
    <row r="12" spans="1:43" x14ac:dyDescent="0.35">
      <c r="A12" s="83" t="s">
        <v>75</v>
      </c>
      <c r="B12" s="84" t="s">
        <v>120</v>
      </c>
      <c r="C12" s="83" t="s">
        <v>296</v>
      </c>
      <c r="D12" s="83">
        <v>4</v>
      </c>
      <c r="E12" s="83">
        <v>1</v>
      </c>
      <c r="F12" s="83">
        <v>0</v>
      </c>
      <c r="G12" s="83">
        <v>0</v>
      </c>
      <c r="H12" s="83">
        <v>1</v>
      </c>
      <c r="I12" s="83">
        <v>1</v>
      </c>
      <c r="J12" s="83">
        <v>0</v>
      </c>
      <c r="K12" s="83">
        <v>1</v>
      </c>
      <c r="L12" s="83">
        <v>1</v>
      </c>
      <c r="M12" s="83">
        <v>0</v>
      </c>
      <c r="N12" s="83">
        <v>2</v>
      </c>
      <c r="O12" s="83">
        <v>2</v>
      </c>
      <c r="P12" s="83">
        <v>2</v>
      </c>
      <c r="Q12" s="83">
        <v>1</v>
      </c>
      <c r="R12" s="83">
        <v>0</v>
      </c>
      <c r="S12" s="83">
        <v>0</v>
      </c>
      <c r="T12" s="83">
        <v>1</v>
      </c>
      <c r="U12" s="83">
        <v>2</v>
      </c>
      <c r="V12" s="46"/>
      <c r="X12" t="s">
        <v>303</v>
      </c>
      <c r="Y12">
        <v>26</v>
      </c>
      <c r="Z12">
        <v>30</v>
      </c>
      <c r="AA12">
        <v>1</v>
      </c>
      <c r="AB12">
        <v>6</v>
      </c>
      <c r="AC12">
        <v>14</v>
      </c>
      <c r="AD12">
        <v>0</v>
      </c>
      <c r="AE12">
        <v>3</v>
      </c>
      <c r="AF12">
        <v>60</v>
      </c>
      <c r="AG12">
        <v>2</v>
      </c>
      <c r="AH12">
        <v>7</v>
      </c>
      <c r="AI12">
        <v>35</v>
      </c>
      <c r="AJ12">
        <v>39</v>
      </c>
      <c r="AK12">
        <v>20</v>
      </c>
      <c r="AL12">
        <v>24</v>
      </c>
      <c r="AM12">
        <v>2</v>
      </c>
      <c r="AN12">
        <v>11</v>
      </c>
      <c r="AO12">
        <v>17</v>
      </c>
      <c r="AP12">
        <v>0</v>
      </c>
      <c r="AQ12">
        <v>297</v>
      </c>
    </row>
    <row r="13" spans="1:43" x14ac:dyDescent="0.35">
      <c r="A13" s="81" t="s">
        <v>76</v>
      </c>
      <c r="B13" s="82" t="s">
        <v>120</v>
      </c>
      <c r="C13" s="81" t="s">
        <v>297</v>
      </c>
      <c r="D13" s="81">
        <v>2</v>
      </c>
      <c r="E13" s="81">
        <v>1</v>
      </c>
      <c r="F13" s="81">
        <v>0</v>
      </c>
      <c r="G13" s="81">
        <v>0</v>
      </c>
      <c r="H13" s="81">
        <v>0</v>
      </c>
      <c r="I13" s="81">
        <v>0</v>
      </c>
      <c r="J13" s="81">
        <v>0</v>
      </c>
      <c r="K13" s="81">
        <v>4</v>
      </c>
      <c r="L13" s="81">
        <v>0</v>
      </c>
      <c r="M13" s="81">
        <v>0</v>
      </c>
      <c r="N13" s="81">
        <v>1</v>
      </c>
      <c r="O13" s="81">
        <v>3</v>
      </c>
      <c r="P13" s="81">
        <v>2</v>
      </c>
      <c r="Q13" s="81">
        <v>1</v>
      </c>
      <c r="R13" s="81">
        <v>0</v>
      </c>
      <c r="S13" s="81">
        <v>0</v>
      </c>
      <c r="T13" s="81">
        <v>0</v>
      </c>
      <c r="U13" s="81">
        <v>0</v>
      </c>
      <c r="V13" s="46"/>
      <c r="X13" t="s">
        <v>304</v>
      </c>
      <c r="Y13">
        <v>1.625</v>
      </c>
      <c r="Z13">
        <v>1.875</v>
      </c>
      <c r="AA13">
        <v>6.25E-2</v>
      </c>
      <c r="AB13">
        <v>0.375</v>
      </c>
      <c r="AC13">
        <v>0.875</v>
      </c>
      <c r="AD13">
        <v>0</v>
      </c>
      <c r="AE13">
        <v>0.1875</v>
      </c>
      <c r="AF13">
        <v>3.75</v>
      </c>
      <c r="AG13">
        <v>0.125</v>
      </c>
      <c r="AH13">
        <v>0.4375</v>
      </c>
      <c r="AI13">
        <v>2.1875</v>
      </c>
      <c r="AJ13">
        <v>2.4375</v>
      </c>
      <c r="AK13">
        <v>1.25</v>
      </c>
      <c r="AL13">
        <v>1.5</v>
      </c>
      <c r="AM13">
        <v>0.125</v>
      </c>
      <c r="AN13">
        <v>0.6875</v>
      </c>
      <c r="AO13">
        <v>1.0625</v>
      </c>
      <c r="AP13">
        <v>0</v>
      </c>
      <c r="AQ13">
        <v>1.03125</v>
      </c>
    </row>
    <row r="14" spans="1:43" x14ac:dyDescent="0.35">
      <c r="A14" s="84" t="s">
        <v>81</v>
      </c>
      <c r="B14" s="84" t="s">
        <v>139</v>
      </c>
      <c r="C14" s="83" t="s">
        <v>296</v>
      </c>
      <c r="D14" s="84">
        <v>1</v>
      </c>
      <c r="E14" s="84">
        <v>2</v>
      </c>
      <c r="F14" s="84">
        <v>0</v>
      </c>
      <c r="G14" s="84">
        <v>1</v>
      </c>
      <c r="H14" s="84">
        <v>0</v>
      </c>
      <c r="I14" s="84">
        <v>0</v>
      </c>
      <c r="J14" s="84">
        <v>0</v>
      </c>
      <c r="K14" s="84">
        <v>1</v>
      </c>
      <c r="L14" s="84">
        <v>1</v>
      </c>
      <c r="M14" s="84">
        <v>1</v>
      </c>
      <c r="N14" s="84">
        <v>2</v>
      </c>
      <c r="O14" s="84">
        <v>1</v>
      </c>
      <c r="P14" s="84">
        <v>1</v>
      </c>
      <c r="Q14" s="84">
        <v>1</v>
      </c>
      <c r="R14" s="84">
        <v>0</v>
      </c>
      <c r="S14" s="84">
        <v>1</v>
      </c>
      <c r="T14" s="84">
        <v>0</v>
      </c>
      <c r="U14" s="84">
        <v>0</v>
      </c>
      <c r="V14" s="46"/>
      <c r="X14" t="s">
        <v>305</v>
      </c>
      <c r="Y14">
        <v>1.05</v>
      </c>
      <c r="Z14">
        <v>1.85</v>
      </c>
      <c r="AA14">
        <v>6.25E-2</v>
      </c>
      <c r="AB14">
        <v>0.65</v>
      </c>
      <c r="AC14">
        <v>1.3166666666666667</v>
      </c>
      <c r="AD14">
        <v>0</v>
      </c>
      <c r="AE14">
        <v>0.16250000000000001</v>
      </c>
      <c r="AF14">
        <v>1</v>
      </c>
      <c r="AG14">
        <v>0.11666666666666667</v>
      </c>
      <c r="AH14">
        <v>0.39583333333333331</v>
      </c>
      <c r="AI14">
        <v>1.4958333333333333</v>
      </c>
      <c r="AJ14">
        <v>0.66249999999999998</v>
      </c>
      <c r="AK14">
        <v>0.73333333333333328</v>
      </c>
      <c r="AL14">
        <v>2</v>
      </c>
      <c r="AM14">
        <v>0.11666666666666667</v>
      </c>
      <c r="AN14">
        <v>1.1625000000000001</v>
      </c>
      <c r="AO14">
        <v>1.9291666666666667</v>
      </c>
      <c r="AP14">
        <v>0</v>
      </c>
      <c r="AQ14">
        <v>1.7934451219512195</v>
      </c>
    </row>
    <row r="15" spans="1:43" x14ac:dyDescent="0.35">
      <c r="A15" s="82" t="s">
        <v>82</v>
      </c>
      <c r="B15" s="82" t="s">
        <v>139</v>
      </c>
      <c r="C15" s="81" t="s">
        <v>297</v>
      </c>
      <c r="D15" s="82">
        <v>1</v>
      </c>
      <c r="E15" s="82">
        <v>2</v>
      </c>
      <c r="F15" s="82">
        <v>0</v>
      </c>
      <c r="G15" s="82">
        <v>1</v>
      </c>
      <c r="H15" s="82">
        <v>0</v>
      </c>
      <c r="I15" s="82">
        <v>0</v>
      </c>
      <c r="J15" s="82">
        <v>0</v>
      </c>
      <c r="K15" s="82">
        <v>3</v>
      </c>
      <c r="L15" s="82">
        <v>0</v>
      </c>
      <c r="M15" s="82">
        <v>0</v>
      </c>
      <c r="N15" s="82">
        <v>1</v>
      </c>
      <c r="O15" s="82">
        <v>1</v>
      </c>
      <c r="P15" s="82">
        <v>1</v>
      </c>
      <c r="Q15" s="82">
        <v>1</v>
      </c>
      <c r="R15" s="82">
        <v>0</v>
      </c>
      <c r="S15" s="82">
        <v>1</v>
      </c>
      <c r="T15" s="82">
        <v>0</v>
      </c>
      <c r="U15" s="82">
        <v>0</v>
      </c>
      <c r="V15" s="46"/>
    </row>
    <row r="16" spans="1:43" ht="15" thickBot="1" x14ac:dyDescent="0.4">
      <c r="A16" s="83" t="s">
        <v>91</v>
      </c>
      <c r="B16" s="84" t="s">
        <v>145</v>
      </c>
      <c r="C16" s="83" t="s">
        <v>296</v>
      </c>
      <c r="D16" s="83">
        <v>0</v>
      </c>
      <c r="E16" s="83">
        <v>4</v>
      </c>
      <c r="F16" s="83">
        <v>0</v>
      </c>
      <c r="G16" s="83">
        <v>0</v>
      </c>
      <c r="H16" s="83">
        <v>0</v>
      </c>
      <c r="I16" s="83">
        <v>0</v>
      </c>
      <c r="J16" s="83">
        <v>0</v>
      </c>
      <c r="K16" s="83">
        <v>1</v>
      </c>
      <c r="L16" s="83">
        <v>0</v>
      </c>
      <c r="M16" s="83">
        <v>2</v>
      </c>
      <c r="N16" s="83">
        <v>3</v>
      </c>
      <c r="O16" s="83">
        <v>2</v>
      </c>
      <c r="P16" s="83">
        <v>0</v>
      </c>
      <c r="Q16" s="83">
        <v>4</v>
      </c>
      <c r="R16" s="83">
        <v>0</v>
      </c>
      <c r="S16" s="83">
        <v>0</v>
      </c>
      <c r="T16" s="83">
        <v>0</v>
      </c>
      <c r="U16" s="83">
        <v>0</v>
      </c>
      <c r="V16" s="46"/>
      <c r="X16" s="77" t="s">
        <v>301</v>
      </c>
      <c r="Y16" s="77"/>
      <c r="Z16" s="77"/>
      <c r="AA16" s="77"/>
    </row>
    <row r="17" spans="1:42" x14ac:dyDescent="0.35">
      <c r="A17" s="81" t="s">
        <v>92</v>
      </c>
      <c r="B17" s="82" t="s">
        <v>145</v>
      </c>
      <c r="C17" s="81" t="s">
        <v>297</v>
      </c>
      <c r="D17" s="81">
        <v>0</v>
      </c>
      <c r="E17" s="81">
        <v>3</v>
      </c>
      <c r="F17" s="81">
        <v>0</v>
      </c>
      <c r="G17" s="81">
        <v>0</v>
      </c>
      <c r="H17" s="81">
        <v>0</v>
      </c>
      <c r="I17" s="81">
        <v>0</v>
      </c>
      <c r="J17" s="81">
        <v>0</v>
      </c>
      <c r="K17" s="81">
        <v>5</v>
      </c>
      <c r="L17" s="81">
        <v>0</v>
      </c>
      <c r="M17" s="81">
        <v>0</v>
      </c>
      <c r="N17" s="81">
        <v>2</v>
      </c>
      <c r="O17" s="81">
        <v>3</v>
      </c>
      <c r="P17" s="81">
        <v>0</v>
      </c>
      <c r="Q17" s="81">
        <v>3</v>
      </c>
      <c r="R17" s="81">
        <v>0</v>
      </c>
      <c r="S17" s="81">
        <v>0</v>
      </c>
      <c r="T17" s="81">
        <v>0</v>
      </c>
      <c r="U17" s="81">
        <v>0</v>
      </c>
      <c r="V17" s="46"/>
      <c r="X17" t="s">
        <v>302</v>
      </c>
      <c r="Y17">
        <v>32</v>
      </c>
      <c r="Z17">
        <v>32</v>
      </c>
      <c r="AA17">
        <v>32</v>
      </c>
      <c r="AB17">
        <v>32</v>
      </c>
      <c r="AC17">
        <v>32</v>
      </c>
      <c r="AD17">
        <v>32</v>
      </c>
      <c r="AE17">
        <v>32</v>
      </c>
      <c r="AF17">
        <v>32</v>
      </c>
      <c r="AG17">
        <v>32</v>
      </c>
      <c r="AH17">
        <v>32</v>
      </c>
      <c r="AI17">
        <v>32</v>
      </c>
      <c r="AJ17">
        <v>32</v>
      </c>
      <c r="AK17">
        <v>32</v>
      </c>
      <c r="AL17">
        <v>32</v>
      </c>
      <c r="AM17">
        <v>32</v>
      </c>
      <c r="AN17">
        <v>32</v>
      </c>
      <c r="AO17">
        <v>32</v>
      </c>
      <c r="AP17">
        <v>32</v>
      </c>
    </row>
    <row r="18" spans="1:42" x14ac:dyDescent="0.35">
      <c r="A18" s="83" t="s">
        <v>89</v>
      </c>
      <c r="B18" s="84" t="s">
        <v>143</v>
      </c>
      <c r="C18" s="83" t="s">
        <v>296</v>
      </c>
      <c r="D18" s="83">
        <v>1</v>
      </c>
      <c r="E18" s="83">
        <v>3</v>
      </c>
      <c r="F18" s="83">
        <v>0</v>
      </c>
      <c r="G18" s="83">
        <v>0</v>
      </c>
      <c r="H18" s="83">
        <v>2</v>
      </c>
      <c r="I18" s="83">
        <v>0</v>
      </c>
      <c r="J18" s="83">
        <v>0</v>
      </c>
      <c r="K18" s="83">
        <v>1</v>
      </c>
      <c r="L18" s="83">
        <v>0</v>
      </c>
      <c r="M18" s="83">
        <v>1</v>
      </c>
      <c r="N18" s="83">
        <v>2</v>
      </c>
      <c r="O18" s="83">
        <v>1</v>
      </c>
      <c r="P18" s="83">
        <v>1</v>
      </c>
      <c r="Q18" s="83">
        <v>3</v>
      </c>
      <c r="R18" s="83">
        <v>0</v>
      </c>
      <c r="S18" s="83">
        <v>0</v>
      </c>
      <c r="T18" s="83">
        <v>1</v>
      </c>
      <c r="U18" s="83">
        <v>0</v>
      </c>
      <c r="V18" s="46"/>
      <c r="X18" t="s">
        <v>303</v>
      </c>
      <c r="Y18">
        <v>57</v>
      </c>
      <c r="Z18">
        <v>67</v>
      </c>
      <c r="AA18">
        <v>4</v>
      </c>
      <c r="AB18">
        <v>11</v>
      </c>
      <c r="AC18">
        <v>26</v>
      </c>
      <c r="AD18">
        <v>1</v>
      </c>
      <c r="AE18">
        <v>7</v>
      </c>
      <c r="AF18">
        <v>77</v>
      </c>
      <c r="AG18">
        <v>13</v>
      </c>
      <c r="AH18">
        <v>34</v>
      </c>
      <c r="AI18">
        <v>78</v>
      </c>
      <c r="AJ18">
        <v>66</v>
      </c>
      <c r="AK18">
        <v>47</v>
      </c>
      <c r="AL18">
        <v>56</v>
      </c>
      <c r="AM18">
        <v>8</v>
      </c>
      <c r="AN18">
        <v>20</v>
      </c>
      <c r="AO18">
        <v>31</v>
      </c>
      <c r="AP18">
        <v>2</v>
      </c>
    </row>
    <row r="19" spans="1:42" x14ac:dyDescent="0.35">
      <c r="A19" s="81" t="s">
        <v>90</v>
      </c>
      <c r="B19" s="82" t="s">
        <v>143</v>
      </c>
      <c r="C19" s="81" t="s">
        <v>297</v>
      </c>
      <c r="D19" s="81">
        <v>1</v>
      </c>
      <c r="E19" s="81">
        <v>2</v>
      </c>
      <c r="F19" s="81">
        <v>0</v>
      </c>
      <c r="G19" s="81">
        <v>1</v>
      </c>
      <c r="H19" s="81">
        <v>2</v>
      </c>
      <c r="I19" s="81">
        <v>0</v>
      </c>
      <c r="J19" s="81">
        <v>0</v>
      </c>
      <c r="K19" s="81">
        <v>4</v>
      </c>
      <c r="L19" s="81">
        <v>0</v>
      </c>
      <c r="M19" s="81">
        <v>0</v>
      </c>
      <c r="N19" s="81">
        <v>2</v>
      </c>
      <c r="O19" s="81">
        <v>2</v>
      </c>
      <c r="P19" s="81">
        <v>0</v>
      </c>
      <c r="Q19" s="81">
        <v>1</v>
      </c>
      <c r="R19" s="81">
        <v>0</v>
      </c>
      <c r="S19" s="81">
        <v>1</v>
      </c>
      <c r="T19" s="81">
        <v>2</v>
      </c>
      <c r="U19" s="81">
        <v>0</v>
      </c>
      <c r="V19" s="46"/>
      <c r="X19" t="s">
        <v>304</v>
      </c>
      <c r="Y19">
        <v>1.78125</v>
      </c>
      <c r="Z19">
        <v>2.09375</v>
      </c>
      <c r="AA19">
        <v>0.125</v>
      </c>
      <c r="AB19">
        <v>0.34375</v>
      </c>
      <c r="AC19">
        <v>0.8125</v>
      </c>
      <c r="AD19">
        <v>3.125E-2</v>
      </c>
      <c r="AE19">
        <v>0.21875</v>
      </c>
      <c r="AF19">
        <v>2.40625</v>
      </c>
      <c r="AG19">
        <v>0.40625</v>
      </c>
      <c r="AH19">
        <v>1.0625</v>
      </c>
      <c r="AI19">
        <v>2.4375</v>
      </c>
      <c r="AJ19">
        <v>2.0625</v>
      </c>
      <c r="AK19">
        <v>1.46875</v>
      </c>
      <c r="AL19">
        <v>1.75</v>
      </c>
      <c r="AM19">
        <v>0.25</v>
      </c>
      <c r="AN19">
        <v>0.625</v>
      </c>
      <c r="AO19">
        <v>0.96875</v>
      </c>
      <c r="AP19">
        <v>6.25E-2</v>
      </c>
    </row>
    <row r="20" spans="1:42" x14ac:dyDescent="0.35">
      <c r="A20" s="84" t="s">
        <v>79</v>
      </c>
      <c r="B20" s="84" t="s">
        <v>138</v>
      </c>
      <c r="C20" s="83" t="s">
        <v>296</v>
      </c>
      <c r="D20" s="84">
        <v>1</v>
      </c>
      <c r="E20" s="84">
        <v>4</v>
      </c>
      <c r="F20" s="84">
        <v>0</v>
      </c>
      <c r="G20" s="84">
        <v>0</v>
      </c>
      <c r="H20" s="84">
        <v>1</v>
      </c>
      <c r="I20" s="84">
        <v>0</v>
      </c>
      <c r="J20" s="84">
        <v>0</v>
      </c>
      <c r="K20" s="84">
        <v>1</v>
      </c>
      <c r="L20" s="84">
        <v>2</v>
      </c>
      <c r="M20" s="84">
        <v>3</v>
      </c>
      <c r="N20" s="84">
        <v>2</v>
      </c>
      <c r="O20" s="84">
        <v>1</v>
      </c>
      <c r="P20" s="84">
        <v>1</v>
      </c>
      <c r="Q20" s="84">
        <v>4</v>
      </c>
      <c r="R20" s="84">
        <v>0</v>
      </c>
      <c r="S20" s="84">
        <v>0</v>
      </c>
      <c r="T20" s="84">
        <v>2</v>
      </c>
      <c r="U20" s="84">
        <v>0</v>
      </c>
      <c r="V20" s="46"/>
      <c r="X20" t="s">
        <v>305</v>
      </c>
      <c r="Y20">
        <v>1.7893145161290323</v>
      </c>
      <c r="Z20">
        <v>1.8941532258064515</v>
      </c>
      <c r="AA20">
        <v>0.17741935483870969</v>
      </c>
      <c r="AB20">
        <v>0.813508064516129</v>
      </c>
      <c r="AC20">
        <v>1.125</v>
      </c>
      <c r="AD20">
        <v>3.125E-2</v>
      </c>
      <c r="AE20">
        <v>0.24092741935483872</v>
      </c>
      <c r="AF20">
        <v>2.507056451612903</v>
      </c>
      <c r="AG20">
        <v>0.44254032258064518</v>
      </c>
      <c r="AH20">
        <v>1.3508064516129032</v>
      </c>
      <c r="AI20">
        <v>1.2862903225806452</v>
      </c>
      <c r="AJ20">
        <v>0.70564516129032262</v>
      </c>
      <c r="AK20">
        <v>1.7409274193548387</v>
      </c>
      <c r="AL20">
        <v>2.3225806451612905</v>
      </c>
      <c r="AM20">
        <v>0.45161290322580644</v>
      </c>
      <c r="AN20">
        <v>1.1451612903225807</v>
      </c>
      <c r="AO20">
        <v>1.3860887096774193</v>
      </c>
      <c r="AP20">
        <v>0.125</v>
      </c>
    </row>
    <row r="21" spans="1:42" x14ac:dyDescent="0.35">
      <c r="A21" s="82" t="s">
        <v>80</v>
      </c>
      <c r="B21" s="82" t="s">
        <v>138</v>
      </c>
      <c r="C21" s="81" t="s">
        <v>297</v>
      </c>
      <c r="D21" s="82">
        <v>3</v>
      </c>
      <c r="E21" s="82">
        <v>2</v>
      </c>
      <c r="F21" s="82">
        <v>0</v>
      </c>
      <c r="G21" s="82">
        <v>1</v>
      </c>
      <c r="H21" s="82">
        <v>0</v>
      </c>
      <c r="I21" s="82">
        <v>0</v>
      </c>
      <c r="J21" s="82">
        <v>0</v>
      </c>
      <c r="K21" s="82">
        <v>3</v>
      </c>
      <c r="L21" s="82">
        <v>1</v>
      </c>
      <c r="M21" s="82">
        <v>1</v>
      </c>
      <c r="N21" s="82">
        <v>3</v>
      </c>
      <c r="O21" s="82">
        <v>2</v>
      </c>
      <c r="P21" s="82">
        <v>3</v>
      </c>
      <c r="Q21" s="82">
        <v>2</v>
      </c>
      <c r="R21" s="82">
        <v>0</v>
      </c>
      <c r="S21" s="82">
        <v>1</v>
      </c>
      <c r="T21" s="82">
        <v>1</v>
      </c>
      <c r="U21" s="82">
        <v>0</v>
      </c>
      <c r="V21" s="46"/>
    </row>
    <row r="22" spans="1:42" x14ac:dyDescent="0.35">
      <c r="A22" s="83" t="s">
        <v>77</v>
      </c>
      <c r="B22" s="84" t="s">
        <v>121</v>
      </c>
      <c r="C22" s="83" t="s">
        <v>296</v>
      </c>
      <c r="D22" s="83">
        <v>3</v>
      </c>
      <c r="E22" s="83">
        <v>0</v>
      </c>
      <c r="F22" s="83">
        <v>0</v>
      </c>
      <c r="G22" s="83">
        <v>4</v>
      </c>
      <c r="H22" s="83">
        <v>0</v>
      </c>
      <c r="I22" s="83">
        <v>0</v>
      </c>
      <c r="J22" s="83">
        <v>0</v>
      </c>
      <c r="K22" s="83">
        <v>1</v>
      </c>
      <c r="L22" s="83">
        <v>0</v>
      </c>
      <c r="M22" s="83">
        <v>2</v>
      </c>
      <c r="N22" s="83">
        <v>3</v>
      </c>
      <c r="O22" s="83">
        <v>3</v>
      </c>
      <c r="P22" s="83">
        <v>2</v>
      </c>
      <c r="Q22" s="83">
        <v>0</v>
      </c>
      <c r="R22" s="83">
        <v>0</v>
      </c>
      <c r="S22" s="83">
        <v>4</v>
      </c>
      <c r="T22" s="83">
        <v>0</v>
      </c>
      <c r="U22" s="83">
        <v>0</v>
      </c>
      <c r="V22" s="46"/>
    </row>
    <row r="23" spans="1:42" ht="15" thickBot="1" x14ac:dyDescent="0.4">
      <c r="A23" s="81" t="s">
        <v>78</v>
      </c>
      <c r="B23" s="82" t="s">
        <v>121</v>
      </c>
      <c r="C23" s="81" t="s">
        <v>297</v>
      </c>
      <c r="D23" s="81">
        <v>2</v>
      </c>
      <c r="E23" s="81">
        <v>0</v>
      </c>
      <c r="F23" s="81">
        <v>0</v>
      </c>
      <c r="G23" s="81">
        <v>3</v>
      </c>
      <c r="H23" s="81">
        <v>0</v>
      </c>
      <c r="I23" s="81">
        <v>0</v>
      </c>
      <c r="J23" s="81">
        <v>0</v>
      </c>
      <c r="K23" s="81">
        <v>3</v>
      </c>
      <c r="L23" s="81">
        <v>0</v>
      </c>
      <c r="M23" s="81">
        <v>1</v>
      </c>
      <c r="N23" s="81">
        <v>3</v>
      </c>
      <c r="O23" s="81">
        <v>3</v>
      </c>
      <c r="P23" s="81">
        <v>1</v>
      </c>
      <c r="Q23" s="81">
        <v>0</v>
      </c>
      <c r="R23" s="81">
        <v>0</v>
      </c>
      <c r="S23" s="81">
        <v>3</v>
      </c>
      <c r="T23" s="81">
        <v>0</v>
      </c>
      <c r="U23" s="81">
        <v>0</v>
      </c>
      <c r="V23" s="46"/>
      <c r="X23" t="s">
        <v>313</v>
      </c>
    </row>
    <row r="24" spans="1:42" x14ac:dyDescent="0.35">
      <c r="A24" s="84" t="s">
        <v>85</v>
      </c>
      <c r="B24" s="84" t="s">
        <v>141</v>
      </c>
      <c r="C24" s="83" t="s">
        <v>296</v>
      </c>
      <c r="D24" s="84">
        <v>0</v>
      </c>
      <c r="E24" s="84">
        <v>1</v>
      </c>
      <c r="F24" s="84">
        <v>0</v>
      </c>
      <c r="G24" s="84">
        <v>0</v>
      </c>
      <c r="H24" s="84">
        <v>0</v>
      </c>
      <c r="I24" s="84">
        <v>0</v>
      </c>
      <c r="J24" s="84">
        <v>0</v>
      </c>
      <c r="K24" s="84">
        <v>1</v>
      </c>
      <c r="L24" s="84">
        <v>1</v>
      </c>
      <c r="M24" s="84">
        <v>0</v>
      </c>
      <c r="N24" s="84">
        <v>3</v>
      </c>
      <c r="O24" s="84">
        <v>1</v>
      </c>
      <c r="P24" s="84">
        <v>0</v>
      </c>
      <c r="Q24" s="84">
        <v>1</v>
      </c>
      <c r="R24" s="84">
        <v>0</v>
      </c>
      <c r="S24" s="84">
        <v>0</v>
      </c>
      <c r="T24" s="84">
        <v>0</v>
      </c>
      <c r="U24" s="84">
        <v>0</v>
      </c>
      <c r="V24" s="46"/>
      <c r="X24" s="79" t="s">
        <v>306</v>
      </c>
      <c r="Y24" s="79" t="s">
        <v>307</v>
      </c>
      <c r="Z24" s="79" t="s">
        <v>308</v>
      </c>
      <c r="AA24" s="79" t="s">
        <v>309</v>
      </c>
      <c r="AB24" s="79" t="s">
        <v>183</v>
      </c>
      <c r="AC24" s="79" t="s">
        <v>314</v>
      </c>
      <c r="AD24" s="79" t="s">
        <v>310</v>
      </c>
    </row>
    <row r="25" spans="1:42" x14ac:dyDescent="0.35">
      <c r="A25" s="82" t="s">
        <v>86</v>
      </c>
      <c r="B25" s="82" t="s">
        <v>141</v>
      </c>
      <c r="C25" s="81" t="s">
        <v>297</v>
      </c>
      <c r="D25" s="82">
        <v>0</v>
      </c>
      <c r="E25" s="82">
        <v>1</v>
      </c>
      <c r="F25" s="82">
        <v>0</v>
      </c>
      <c r="G25" s="82">
        <v>0</v>
      </c>
      <c r="H25" s="82">
        <v>0</v>
      </c>
      <c r="I25" s="82">
        <v>0</v>
      </c>
      <c r="J25" s="82">
        <v>0</v>
      </c>
      <c r="K25" s="82">
        <v>2</v>
      </c>
      <c r="L25" s="82">
        <v>1</v>
      </c>
      <c r="M25" s="82">
        <v>0</v>
      </c>
      <c r="N25" s="82">
        <v>4</v>
      </c>
      <c r="O25" s="82">
        <v>1</v>
      </c>
      <c r="P25" s="82">
        <v>0</v>
      </c>
      <c r="Q25" s="82">
        <v>1</v>
      </c>
      <c r="R25" s="82">
        <v>0</v>
      </c>
      <c r="S25" s="82">
        <v>0</v>
      </c>
      <c r="T25" s="82">
        <v>0</v>
      </c>
      <c r="U25" s="82">
        <v>0</v>
      </c>
      <c r="V25" s="46"/>
      <c r="X25" t="s">
        <v>315</v>
      </c>
      <c r="Y25">
        <v>0.21006944445264253</v>
      </c>
      <c r="Z25">
        <v>1</v>
      </c>
      <c r="AA25">
        <v>0.21006944445264253</v>
      </c>
      <c r="AB25">
        <v>0.21854304636614466</v>
      </c>
      <c r="AC25" s="80">
        <v>0.64034088320415039</v>
      </c>
      <c r="AD25">
        <v>3.8587368267692503</v>
      </c>
    </row>
    <row r="26" spans="1:42" x14ac:dyDescent="0.35">
      <c r="A26" s="84" t="s">
        <v>83</v>
      </c>
      <c r="B26" s="84" t="s">
        <v>140</v>
      </c>
      <c r="C26" s="83" t="s">
        <v>296</v>
      </c>
      <c r="D26" s="84">
        <v>1</v>
      </c>
      <c r="E26" s="84">
        <v>3</v>
      </c>
      <c r="F26" s="84">
        <v>0</v>
      </c>
      <c r="G26" s="84">
        <v>0</v>
      </c>
      <c r="H26" s="84">
        <v>0</v>
      </c>
      <c r="I26" s="84">
        <v>0</v>
      </c>
      <c r="J26" s="84">
        <v>0</v>
      </c>
      <c r="K26" s="84">
        <v>1</v>
      </c>
      <c r="L26" s="84">
        <v>2</v>
      </c>
      <c r="M26" s="84">
        <v>1</v>
      </c>
      <c r="N26" s="84">
        <v>2</v>
      </c>
      <c r="O26" s="84">
        <v>1</v>
      </c>
      <c r="P26" s="84">
        <v>0</v>
      </c>
      <c r="Q26" s="84">
        <v>3</v>
      </c>
      <c r="R26" s="84">
        <v>0</v>
      </c>
      <c r="S26" s="84">
        <v>0</v>
      </c>
      <c r="T26" s="84">
        <v>0</v>
      </c>
      <c r="U26" s="84">
        <v>0</v>
      </c>
      <c r="V26" s="46"/>
      <c r="X26" t="s">
        <v>316</v>
      </c>
      <c r="Y26">
        <v>397.94618055556202</v>
      </c>
      <c r="Z26">
        <v>17</v>
      </c>
      <c r="AA26">
        <v>23.40859885620953</v>
      </c>
      <c r="AB26">
        <v>24.352834932889866</v>
      </c>
      <c r="AC26">
        <v>5.0588138050594565E-56</v>
      </c>
      <c r="AD26">
        <v>1.6417145224224161</v>
      </c>
    </row>
    <row r="27" spans="1:42" x14ac:dyDescent="0.35">
      <c r="A27" s="82" t="s">
        <v>84</v>
      </c>
      <c r="B27" s="82" t="s">
        <v>140</v>
      </c>
      <c r="C27" s="81" t="s">
        <v>297</v>
      </c>
      <c r="D27" s="82">
        <v>1</v>
      </c>
      <c r="E27" s="82">
        <v>2</v>
      </c>
      <c r="F27" s="82">
        <v>0</v>
      </c>
      <c r="G27" s="82">
        <v>0</v>
      </c>
      <c r="H27" s="82">
        <v>0</v>
      </c>
      <c r="I27" s="82">
        <v>0</v>
      </c>
      <c r="J27" s="82">
        <v>1</v>
      </c>
      <c r="K27" s="82">
        <v>3</v>
      </c>
      <c r="L27" s="82">
        <v>0</v>
      </c>
      <c r="M27" s="82">
        <v>0</v>
      </c>
      <c r="N27" s="82">
        <v>1</v>
      </c>
      <c r="O27" s="82">
        <v>2</v>
      </c>
      <c r="P27" s="82">
        <v>1</v>
      </c>
      <c r="Q27" s="82">
        <v>2</v>
      </c>
      <c r="R27" s="82">
        <v>0</v>
      </c>
      <c r="S27" s="82">
        <v>0</v>
      </c>
      <c r="T27" s="82">
        <v>0</v>
      </c>
      <c r="U27" s="82">
        <v>0</v>
      </c>
      <c r="V27" s="46"/>
      <c r="X27" t="s">
        <v>311</v>
      </c>
      <c r="Y27">
        <v>86.321180555547357</v>
      </c>
      <c r="Z27">
        <v>17</v>
      </c>
      <c r="AA27">
        <v>5.0777165032674914</v>
      </c>
      <c r="AB27">
        <v>5.2825370967165712</v>
      </c>
      <c r="AC27" s="80">
        <v>6.7968280386623948E-11</v>
      </c>
      <c r="AD27">
        <v>1.6417145224224161</v>
      </c>
    </row>
    <row r="28" spans="1:42" x14ac:dyDescent="0.35">
      <c r="A28" s="83" t="s">
        <v>107</v>
      </c>
      <c r="B28" s="84" t="s">
        <v>146</v>
      </c>
      <c r="C28" s="83" t="s">
        <v>296</v>
      </c>
      <c r="D28" s="83">
        <v>2</v>
      </c>
      <c r="E28" s="83">
        <v>2</v>
      </c>
      <c r="F28" s="83">
        <v>0</v>
      </c>
      <c r="G28" s="83">
        <v>0</v>
      </c>
      <c r="H28" s="83">
        <v>0</v>
      </c>
      <c r="I28" s="83">
        <v>0</v>
      </c>
      <c r="J28" s="83">
        <v>0</v>
      </c>
      <c r="K28" s="83">
        <v>0</v>
      </c>
      <c r="L28" s="83">
        <v>0</v>
      </c>
      <c r="M28" s="83">
        <v>3</v>
      </c>
      <c r="N28" s="83">
        <v>3</v>
      </c>
      <c r="O28" s="83">
        <v>2</v>
      </c>
      <c r="P28" s="83">
        <v>2</v>
      </c>
      <c r="Q28" s="83">
        <v>2</v>
      </c>
      <c r="R28" s="83">
        <v>0</v>
      </c>
      <c r="S28" s="83">
        <v>1</v>
      </c>
      <c r="T28" s="83">
        <v>0</v>
      </c>
      <c r="U28" s="83">
        <v>0</v>
      </c>
      <c r="V28" s="46"/>
      <c r="X28" t="s">
        <v>312</v>
      </c>
      <c r="Y28">
        <v>519.0625</v>
      </c>
      <c r="Z28">
        <v>540</v>
      </c>
      <c r="AA28">
        <v>0.96122685185185186</v>
      </c>
    </row>
    <row r="29" spans="1:42" x14ac:dyDescent="0.35">
      <c r="A29" s="81" t="s">
        <v>95</v>
      </c>
      <c r="B29" s="82" t="s">
        <v>146</v>
      </c>
      <c r="C29" s="81" t="s">
        <v>297</v>
      </c>
      <c r="D29" s="81">
        <v>2</v>
      </c>
      <c r="E29" s="81">
        <v>2</v>
      </c>
      <c r="F29" s="81">
        <v>0</v>
      </c>
      <c r="G29" s="81">
        <v>0</v>
      </c>
      <c r="H29" s="81">
        <v>0</v>
      </c>
      <c r="I29" s="81">
        <v>0</v>
      </c>
      <c r="J29" s="81">
        <v>0</v>
      </c>
      <c r="K29" s="81">
        <v>4</v>
      </c>
      <c r="L29" s="81">
        <v>0</v>
      </c>
      <c r="M29" s="81">
        <v>1</v>
      </c>
      <c r="N29" s="81">
        <v>3</v>
      </c>
      <c r="O29" s="81">
        <v>3</v>
      </c>
      <c r="P29" s="81">
        <v>2</v>
      </c>
      <c r="Q29" s="81">
        <v>1</v>
      </c>
      <c r="R29" s="81">
        <v>0</v>
      </c>
      <c r="S29" s="81">
        <v>2</v>
      </c>
      <c r="T29" s="81">
        <v>0</v>
      </c>
      <c r="U29" s="81">
        <v>0</v>
      </c>
      <c r="V29" s="46"/>
    </row>
    <row r="30" spans="1:42" ht="15" thickBot="1" x14ac:dyDescent="0.4">
      <c r="A30" s="83" t="s">
        <v>93</v>
      </c>
      <c r="B30" s="84" t="s">
        <v>144</v>
      </c>
      <c r="C30" s="83" t="s">
        <v>296</v>
      </c>
      <c r="D30" s="83">
        <v>2</v>
      </c>
      <c r="E30" s="83">
        <v>2</v>
      </c>
      <c r="F30" s="83">
        <v>0</v>
      </c>
      <c r="G30" s="83">
        <v>0</v>
      </c>
      <c r="H30" s="83">
        <v>2</v>
      </c>
      <c r="I30" s="83">
        <v>0</v>
      </c>
      <c r="J30" s="83">
        <v>0</v>
      </c>
      <c r="K30" s="83">
        <v>1</v>
      </c>
      <c r="L30" s="83">
        <v>0</v>
      </c>
      <c r="M30" s="83">
        <v>1</v>
      </c>
      <c r="N30" s="83">
        <v>4</v>
      </c>
      <c r="O30" s="83">
        <v>2</v>
      </c>
      <c r="P30" s="83">
        <v>2</v>
      </c>
      <c r="Q30" s="83">
        <v>0</v>
      </c>
      <c r="R30" s="83">
        <v>0</v>
      </c>
      <c r="S30" s="83">
        <v>2</v>
      </c>
      <c r="T30" s="83">
        <v>1</v>
      </c>
      <c r="U30" s="83">
        <v>0</v>
      </c>
      <c r="V30" s="46"/>
      <c r="X30" s="78" t="s">
        <v>301</v>
      </c>
      <c r="Y30" s="78">
        <v>1003.539930555562</v>
      </c>
      <c r="Z30" s="78">
        <v>575</v>
      </c>
      <c r="AA30" s="78"/>
      <c r="AB30" s="78"/>
      <c r="AC30" s="78"/>
      <c r="AD30" s="78"/>
    </row>
    <row r="31" spans="1:42" x14ac:dyDescent="0.35">
      <c r="A31" s="81" t="s">
        <v>94</v>
      </c>
      <c r="B31" s="82" t="s">
        <v>144</v>
      </c>
      <c r="C31" s="81" t="s">
        <v>297</v>
      </c>
      <c r="D31" s="81">
        <v>1</v>
      </c>
      <c r="E31" s="81">
        <v>1</v>
      </c>
      <c r="F31" s="81">
        <v>0</v>
      </c>
      <c r="G31" s="81">
        <v>0</v>
      </c>
      <c r="H31" s="81">
        <v>1</v>
      </c>
      <c r="I31" s="81">
        <v>0</v>
      </c>
      <c r="J31" s="81">
        <v>0</v>
      </c>
      <c r="K31" s="81">
        <v>5</v>
      </c>
      <c r="L31" s="81">
        <v>0</v>
      </c>
      <c r="M31" s="81">
        <v>0</v>
      </c>
      <c r="N31" s="81">
        <v>3</v>
      </c>
      <c r="O31" s="81">
        <v>3</v>
      </c>
      <c r="P31" s="81">
        <v>1</v>
      </c>
      <c r="Q31" s="81">
        <v>0</v>
      </c>
      <c r="R31" s="81">
        <v>0</v>
      </c>
      <c r="S31" s="81">
        <v>3</v>
      </c>
      <c r="T31" s="81">
        <v>1</v>
      </c>
      <c r="U31" s="81">
        <v>0</v>
      </c>
      <c r="V31" s="46"/>
      <c r="Z31" s="17"/>
    </row>
    <row r="32" spans="1:42" x14ac:dyDescent="0.35">
      <c r="A32" s="83" t="s">
        <v>6</v>
      </c>
      <c r="B32" s="84" t="s">
        <v>122</v>
      </c>
      <c r="C32" s="83" t="s">
        <v>296</v>
      </c>
      <c r="D32" s="83">
        <v>4</v>
      </c>
      <c r="E32" s="83">
        <v>2</v>
      </c>
      <c r="F32" s="83">
        <v>1</v>
      </c>
      <c r="G32" s="83">
        <v>0</v>
      </c>
      <c r="H32" s="83">
        <v>0</v>
      </c>
      <c r="I32" s="83">
        <v>0</v>
      </c>
      <c r="J32" s="83">
        <v>1</v>
      </c>
      <c r="K32" s="83">
        <v>1</v>
      </c>
      <c r="L32" s="83">
        <v>0</v>
      </c>
      <c r="M32" s="83">
        <v>3</v>
      </c>
      <c r="N32" s="83">
        <v>5</v>
      </c>
      <c r="O32" s="83">
        <v>3</v>
      </c>
      <c r="P32" s="83">
        <v>5</v>
      </c>
      <c r="Q32" s="83">
        <v>1</v>
      </c>
      <c r="R32" s="83">
        <v>2</v>
      </c>
      <c r="S32" s="83">
        <v>0</v>
      </c>
      <c r="T32" s="83">
        <v>1</v>
      </c>
      <c r="U32" s="83">
        <v>0</v>
      </c>
      <c r="V32" s="46" t="s">
        <v>271</v>
      </c>
      <c r="Z32" s="17"/>
    </row>
    <row r="33" spans="1:43" x14ac:dyDescent="0.35">
      <c r="A33" s="81" t="s">
        <v>7</v>
      </c>
      <c r="B33" s="82" t="s">
        <v>122</v>
      </c>
      <c r="C33" s="81" t="s">
        <v>297</v>
      </c>
      <c r="D33" s="81">
        <v>3</v>
      </c>
      <c r="E33" s="81">
        <v>3</v>
      </c>
      <c r="F33" s="81">
        <v>0</v>
      </c>
      <c r="G33" s="81">
        <v>0</v>
      </c>
      <c r="H33" s="81">
        <v>2</v>
      </c>
      <c r="I33" s="81">
        <v>0</v>
      </c>
      <c r="J33" s="81">
        <v>0</v>
      </c>
      <c r="K33" s="81">
        <v>4</v>
      </c>
      <c r="L33" s="81">
        <v>0</v>
      </c>
      <c r="M33" s="81">
        <v>2</v>
      </c>
      <c r="N33" s="81">
        <v>4</v>
      </c>
      <c r="O33" s="81">
        <v>4</v>
      </c>
      <c r="P33" s="81">
        <v>2</v>
      </c>
      <c r="Q33" s="81">
        <v>3</v>
      </c>
      <c r="R33" s="81">
        <v>1</v>
      </c>
      <c r="S33" s="81">
        <v>0</v>
      </c>
      <c r="T33" s="81">
        <v>2</v>
      </c>
      <c r="U33" s="81">
        <v>0</v>
      </c>
      <c r="V33" s="46" t="s">
        <v>272</v>
      </c>
      <c r="Z33" s="17"/>
    </row>
    <row r="35" spans="1:43" x14ac:dyDescent="0.35">
      <c r="A35" s="45"/>
      <c r="B35" s="45"/>
      <c r="C35" s="45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</row>
    <row r="36" spans="1:43" x14ac:dyDescent="0.35">
      <c r="A36" s="46"/>
      <c r="B36" s="45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</row>
    <row r="37" spans="1:43" x14ac:dyDescent="0.35">
      <c r="A37" s="46"/>
      <c r="B37" s="45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</row>
    <row r="38" spans="1:43" x14ac:dyDescent="0.35">
      <c r="A38" s="46"/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</row>
    <row r="39" spans="1:43" x14ac:dyDescent="0.35">
      <c r="A39" s="46"/>
      <c r="B39" s="45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</row>
    <row r="40" spans="1:43" x14ac:dyDescent="0.35">
      <c r="A40" s="45"/>
      <c r="B40" s="45"/>
      <c r="C40" s="46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</row>
    <row r="41" spans="1:43" x14ac:dyDescent="0.35">
      <c r="A41" s="45"/>
      <c r="B41" s="45"/>
      <c r="C41" s="46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</row>
    <row r="42" spans="1:43" x14ac:dyDescent="0.35">
      <c r="A42" s="46"/>
      <c r="B42" s="45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</row>
    <row r="43" spans="1:43" x14ac:dyDescent="0.35">
      <c r="A43" s="46"/>
      <c r="B43" s="45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</row>
    <row r="44" spans="1:43" x14ac:dyDescent="0.35">
      <c r="A44" s="46"/>
      <c r="B44" s="45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/>
      <c r="AO44" s="85"/>
      <c r="AP44" s="85"/>
      <c r="AQ44" s="85"/>
    </row>
    <row r="45" spans="1:43" x14ac:dyDescent="0.35">
      <c r="A45" s="46"/>
      <c r="B45" s="45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</row>
    <row r="46" spans="1:43" x14ac:dyDescent="0.35">
      <c r="A46" s="46"/>
      <c r="B46" s="45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</row>
    <row r="47" spans="1:43" x14ac:dyDescent="0.35">
      <c r="A47" s="46"/>
      <c r="B47" s="45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</row>
    <row r="48" spans="1:43" x14ac:dyDescent="0.35">
      <c r="A48" s="45"/>
      <c r="B48" s="45"/>
      <c r="C48" s="46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</row>
    <row r="49" spans="1:30" x14ac:dyDescent="0.35">
      <c r="A49" s="45"/>
      <c r="B49" s="45"/>
      <c r="C49" s="46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</row>
    <row r="50" spans="1:30" x14ac:dyDescent="0.35">
      <c r="A50" s="46"/>
      <c r="B50" s="45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X50" s="85"/>
      <c r="Y50" s="85"/>
      <c r="Z50" s="85"/>
      <c r="AA50" s="85"/>
    </row>
    <row r="51" spans="1:30" x14ac:dyDescent="0.35">
      <c r="A51" s="46"/>
      <c r="B51" s="45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</row>
    <row r="52" spans="1:30" x14ac:dyDescent="0.35">
      <c r="A52" s="46"/>
      <c r="B52" s="45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</row>
    <row r="53" spans="1:30" x14ac:dyDescent="0.35">
      <c r="A53" s="46"/>
      <c r="B53" s="45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</row>
    <row r="54" spans="1:30" x14ac:dyDescent="0.35">
      <c r="A54" s="45"/>
      <c r="B54" s="45"/>
      <c r="C54" s="46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</row>
    <row r="55" spans="1:30" x14ac:dyDescent="0.35">
      <c r="A55" s="45"/>
      <c r="B55" s="45"/>
      <c r="C55" s="46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</row>
    <row r="56" spans="1:30" x14ac:dyDescent="0.35">
      <c r="A56" s="46"/>
      <c r="B56" s="45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</row>
    <row r="57" spans="1:30" x14ac:dyDescent="0.35">
      <c r="A57" s="46"/>
      <c r="B57" s="45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</row>
    <row r="58" spans="1:30" x14ac:dyDescent="0.35">
      <c r="A58" s="45"/>
      <c r="B58" s="45"/>
      <c r="C58" s="46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X58" s="86"/>
      <c r="Y58" s="86"/>
      <c r="Z58" s="86"/>
      <c r="AA58" s="86"/>
      <c r="AB58" s="86"/>
      <c r="AC58" s="86"/>
      <c r="AD58" s="86"/>
    </row>
    <row r="59" spans="1:30" x14ac:dyDescent="0.35">
      <c r="A59" s="45"/>
      <c r="B59" s="45"/>
      <c r="C59" s="46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</row>
    <row r="60" spans="1:30" x14ac:dyDescent="0.35">
      <c r="A60" s="45"/>
      <c r="B60" s="45"/>
      <c r="C60" s="46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</row>
    <row r="61" spans="1:30" x14ac:dyDescent="0.35">
      <c r="A61" s="45"/>
      <c r="B61" s="45"/>
      <c r="C61" s="46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</row>
    <row r="62" spans="1:30" x14ac:dyDescent="0.35">
      <c r="A62" s="46"/>
      <c r="B62" s="45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</row>
    <row r="63" spans="1:30" x14ac:dyDescent="0.35">
      <c r="A63" s="46"/>
      <c r="B63" s="45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</row>
    <row r="64" spans="1:30" x14ac:dyDescent="0.35">
      <c r="A64" s="46"/>
      <c r="B64" s="45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</row>
    <row r="65" spans="1:21" x14ac:dyDescent="0.35">
      <c r="A65" s="46"/>
      <c r="B65" s="45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</row>
    <row r="66" spans="1:21" x14ac:dyDescent="0.35">
      <c r="A66" s="46"/>
      <c r="B66" s="45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</row>
    <row r="67" spans="1:21" x14ac:dyDescent="0.35">
      <c r="A67" s="46"/>
      <c r="B67" s="45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</row>
    <row r="68" spans="1:21" x14ac:dyDescent="0.35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</row>
    <row r="69" spans="1:21" x14ac:dyDescent="0.35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</row>
    <row r="70" spans="1:21" x14ac:dyDescent="0.35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</row>
    <row r="71" spans="1:21" x14ac:dyDescent="0.35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</row>
    <row r="72" spans="1:21" x14ac:dyDescent="0.35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</row>
    <row r="73" spans="1:21" x14ac:dyDescent="0.35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</row>
    <row r="74" spans="1:21" x14ac:dyDescent="0.35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</row>
    <row r="75" spans="1:21" x14ac:dyDescent="0.3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</row>
    <row r="76" spans="1:21" x14ac:dyDescent="0.35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</row>
    <row r="77" spans="1:21" x14ac:dyDescent="0.35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</row>
    <row r="78" spans="1:21" x14ac:dyDescent="0.35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</row>
    <row r="79" spans="1:21" x14ac:dyDescent="0.35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</row>
    <row r="80" spans="1:21" x14ac:dyDescent="0.35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</row>
    <row r="81" spans="1:21" x14ac:dyDescent="0.35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</row>
    <row r="82" spans="1:21" x14ac:dyDescent="0.35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</row>
    <row r="83" spans="1:21" x14ac:dyDescent="0.35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</row>
    <row r="84" spans="1:21" x14ac:dyDescent="0.35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</row>
    <row r="85" spans="1:21" x14ac:dyDescent="0.3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</row>
    <row r="86" spans="1:21" x14ac:dyDescent="0.35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</row>
    <row r="87" spans="1:21" x14ac:dyDescent="0.35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</row>
    <row r="88" spans="1:21" x14ac:dyDescent="0.35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</row>
    <row r="89" spans="1:21" x14ac:dyDescent="0.35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</row>
    <row r="90" spans="1:21" x14ac:dyDescent="0.35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</row>
    <row r="91" spans="1:21" x14ac:dyDescent="0.35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</row>
    <row r="92" spans="1:21" x14ac:dyDescent="0.35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</row>
    <row r="93" spans="1:21" x14ac:dyDescent="0.35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</row>
    <row r="94" spans="1:21" x14ac:dyDescent="0.35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</row>
    <row r="95" spans="1:21" x14ac:dyDescent="0.3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</row>
    <row r="96" spans="1:21" x14ac:dyDescent="0.35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</row>
    <row r="97" spans="1:21" x14ac:dyDescent="0.35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</row>
    <row r="98" spans="1:21" x14ac:dyDescent="0.35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</row>
    <row r="99" spans="1:21" x14ac:dyDescent="0.35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</row>
  </sheetData>
  <conditionalFormatting sqref="D2:U2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U3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:U4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U5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U6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U7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U8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U9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U10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U11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U12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U13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U14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:U15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:U16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:U17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:U18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:U19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:U20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:U21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:U22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:U23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:U24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:U25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:U26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:U27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:U28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U29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0:U30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U31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:U32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:U33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6:U36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:U37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:U38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9:U39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0:U40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1:U41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2:U42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3:U43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4:U44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5:U45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6:U46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7:U47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8:U48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9:U49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0:U50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1:U51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2:U5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3:U5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4:U54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5:U55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6:U5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7:U57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8:U58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9:U5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0:U6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1:U6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2:U6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3:U6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4:U6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5:U6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6:U6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7:U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68AC8-B13C-495C-B774-D5DC9E15EAC0}">
  <dimension ref="A1:Z106"/>
  <sheetViews>
    <sheetView zoomScale="85" zoomScaleNormal="85" workbookViewId="0">
      <selection activeCell="J49" sqref="J49"/>
    </sheetView>
  </sheetViews>
  <sheetFormatPr defaultRowHeight="14.5" x14ac:dyDescent="0.35"/>
  <cols>
    <col min="1" max="1" width="13.1796875" bestFit="1" customWidth="1"/>
    <col min="2" max="2" width="11.7265625" bestFit="1" customWidth="1"/>
    <col min="3" max="3" width="11.81640625" bestFit="1" customWidth="1"/>
    <col min="4" max="4" width="12.26953125" bestFit="1" customWidth="1"/>
    <col min="5" max="5" width="9.7265625" bestFit="1" customWidth="1"/>
    <col min="6" max="6" width="10.54296875" bestFit="1" customWidth="1"/>
    <col min="7" max="7" width="10.7265625" customWidth="1"/>
    <col min="8" max="8" width="10.81640625" customWidth="1"/>
    <col min="13" max="13" width="12" customWidth="1"/>
    <col min="15" max="15" width="10.7265625" customWidth="1"/>
    <col min="16" max="16" width="11.1796875" customWidth="1"/>
    <col min="18" max="18" width="9.7265625" customWidth="1"/>
    <col min="19" max="19" width="10.453125" customWidth="1"/>
    <col min="20" max="20" width="10.26953125" customWidth="1"/>
    <col min="21" max="21" width="113.453125" bestFit="1" customWidth="1"/>
  </cols>
  <sheetData>
    <row r="1" spans="1:26" x14ac:dyDescent="0.35">
      <c r="A1" s="47" t="s">
        <v>318</v>
      </c>
      <c r="B1" s="47" t="s">
        <v>320</v>
      </c>
      <c r="C1" s="87" t="s">
        <v>193</v>
      </c>
      <c r="D1" s="87" t="s">
        <v>194</v>
      </c>
      <c r="E1" s="87" t="s">
        <v>195</v>
      </c>
      <c r="F1" s="87" t="s">
        <v>266</v>
      </c>
      <c r="G1" s="87" t="s">
        <v>196</v>
      </c>
      <c r="H1" s="88" t="s">
        <v>198</v>
      </c>
      <c r="I1" s="88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199</v>
      </c>
      <c r="P1" t="s">
        <v>200</v>
      </c>
      <c r="Q1" t="s">
        <v>201</v>
      </c>
      <c r="R1" t="s">
        <v>267</v>
      </c>
      <c r="S1" t="s">
        <v>202</v>
      </c>
      <c r="T1" t="s">
        <v>204</v>
      </c>
      <c r="U1" t="s">
        <v>205</v>
      </c>
      <c r="V1" t="s">
        <v>317</v>
      </c>
      <c r="Z1" s="90"/>
    </row>
    <row r="2" spans="1:26" x14ac:dyDescent="0.35">
      <c r="A2" t="s">
        <v>11</v>
      </c>
      <c r="B2" t="s">
        <v>296</v>
      </c>
      <c r="C2">
        <v>5</v>
      </c>
      <c r="D2">
        <v>1</v>
      </c>
      <c r="E2">
        <v>2</v>
      </c>
      <c r="F2">
        <v>0</v>
      </c>
      <c r="G2">
        <v>1</v>
      </c>
      <c r="H2">
        <v>0</v>
      </c>
      <c r="I2">
        <v>0</v>
      </c>
      <c r="J2">
        <v>1</v>
      </c>
      <c r="K2">
        <v>0</v>
      </c>
      <c r="L2">
        <v>4</v>
      </c>
      <c r="M2">
        <v>4</v>
      </c>
      <c r="N2">
        <v>2</v>
      </c>
      <c r="O2">
        <v>5</v>
      </c>
      <c r="P2">
        <v>0</v>
      </c>
      <c r="Q2">
        <v>3</v>
      </c>
      <c r="R2">
        <v>0</v>
      </c>
      <c r="S2">
        <v>2</v>
      </c>
      <c r="T2">
        <v>0</v>
      </c>
      <c r="U2" t="s">
        <v>319</v>
      </c>
      <c r="Z2" s="91"/>
    </row>
    <row r="3" spans="1:26" x14ac:dyDescent="0.35">
      <c r="A3" t="s">
        <v>10</v>
      </c>
      <c r="B3" t="s">
        <v>297</v>
      </c>
      <c r="C3">
        <v>3</v>
      </c>
      <c r="D3">
        <v>0</v>
      </c>
      <c r="E3">
        <v>1</v>
      </c>
      <c r="F3">
        <v>0</v>
      </c>
      <c r="G3">
        <v>3</v>
      </c>
      <c r="H3">
        <v>0</v>
      </c>
      <c r="I3">
        <v>0</v>
      </c>
      <c r="J3">
        <v>4</v>
      </c>
      <c r="K3">
        <v>0</v>
      </c>
      <c r="L3">
        <v>1</v>
      </c>
      <c r="M3">
        <v>3</v>
      </c>
      <c r="N3">
        <v>3</v>
      </c>
      <c r="O3">
        <v>2</v>
      </c>
      <c r="P3">
        <v>0</v>
      </c>
      <c r="Q3">
        <v>1</v>
      </c>
      <c r="R3">
        <v>0</v>
      </c>
      <c r="S3">
        <v>4</v>
      </c>
      <c r="T3">
        <v>0</v>
      </c>
      <c r="U3" t="s">
        <v>319</v>
      </c>
      <c r="Z3" s="91"/>
    </row>
    <row r="4" spans="1:26" x14ac:dyDescent="0.35">
      <c r="A4" t="s">
        <v>8</v>
      </c>
      <c r="B4" t="s">
        <v>296</v>
      </c>
      <c r="C4">
        <v>4</v>
      </c>
      <c r="D4">
        <v>2</v>
      </c>
      <c r="E4">
        <v>0</v>
      </c>
      <c r="F4">
        <v>0</v>
      </c>
      <c r="G4">
        <v>2</v>
      </c>
      <c r="H4">
        <v>0</v>
      </c>
      <c r="I4">
        <v>2</v>
      </c>
      <c r="J4">
        <v>2</v>
      </c>
      <c r="K4">
        <v>1</v>
      </c>
      <c r="L4">
        <v>3</v>
      </c>
      <c r="M4">
        <v>2</v>
      </c>
      <c r="N4">
        <v>1</v>
      </c>
      <c r="O4">
        <v>4</v>
      </c>
      <c r="P4">
        <v>1</v>
      </c>
      <c r="Q4">
        <v>0</v>
      </c>
      <c r="R4">
        <v>0</v>
      </c>
      <c r="S4">
        <v>3</v>
      </c>
      <c r="T4">
        <v>0</v>
      </c>
      <c r="U4" t="s">
        <v>319</v>
      </c>
      <c r="Z4" s="91"/>
    </row>
    <row r="5" spans="1:26" x14ac:dyDescent="0.35">
      <c r="A5" t="s">
        <v>9</v>
      </c>
      <c r="B5" t="s">
        <v>297</v>
      </c>
      <c r="C5">
        <v>3</v>
      </c>
      <c r="D5">
        <v>1</v>
      </c>
      <c r="E5">
        <v>0</v>
      </c>
      <c r="F5">
        <v>0</v>
      </c>
      <c r="G5">
        <v>3</v>
      </c>
      <c r="H5">
        <v>0</v>
      </c>
      <c r="I5">
        <v>1</v>
      </c>
      <c r="J5">
        <v>4</v>
      </c>
      <c r="K5">
        <v>0</v>
      </c>
      <c r="L5">
        <v>0</v>
      </c>
      <c r="M5">
        <v>1</v>
      </c>
      <c r="N5">
        <v>2</v>
      </c>
      <c r="O5">
        <v>2</v>
      </c>
      <c r="P5">
        <v>0</v>
      </c>
      <c r="Q5">
        <v>0</v>
      </c>
      <c r="R5">
        <v>0</v>
      </c>
      <c r="S5">
        <v>4</v>
      </c>
      <c r="T5">
        <v>0</v>
      </c>
      <c r="U5" t="s">
        <v>268</v>
      </c>
      <c r="Z5" s="91"/>
    </row>
    <row r="6" spans="1:26" x14ac:dyDescent="0.35">
      <c r="A6" s="80" t="s">
        <v>87</v>
      </c>
      <c r="B6" s="80" t="s">
        <v>296</v>
      </c>
      <c r="C6" s="80">
        <v>0</v>
      </c>
      <c r="D6" s="80">
        <v>1</v>
      </c>
      <c r="E6" s="80">
        <v>0</v>
      </c>
      <c r="F6" s="80">
        <v>0</v>
      </c>
      <c r="G6" s="80">
        <v>3</v>
      </c>
      <c r="H6" s="80">
        <v>0</v>
      </c>
      <c r="I6" s="80">
        <v>1</v>
      </c>
      <c r="J6" s="80">
        <v>0</v>
      </c>
      <c r="K6" s="80">
        <v>0</v>
      </c>
      <c r="L6" s="80">
        <v>2</v>
      </c>
      <c r="M6" s="80">
        <v>3</v>
      </c>
      <c r="N6" s="80">
        <v>2</v>
      </c>
      <c r="O6" s="80">
        <v>0</v>
      </c>
      <c r="P6" s="80">
        <v>2</v>
      </c>
      <c r="Q6" s="80">
        <v>0</v>
      </c>
      <c r="R6" s="80">
        <v>1</v>
      </c>
      <c r="S6" s="80">
        <v>2</v>
      </c>
      <c r="T6" s="80">
        <v>0</v>
      </c>
      <c r="U6" s="80" t="s">
        <v>285</v>
      </c>
      <c r="V6" t="s">
        <v>321</v>
      </c>
      <c r="Z6" s="91"/>
    </row>
    <row r="7" spans="1:26" x14ac:dyDescent="0.35">
      <c r="A7" t="s">
        <v>88</v>
      </c>
      <c r="B7" t="s">
        <v>297</v>
      </c>
      <c r="C7">
        <v>1</v>
      </c>
      <c r="D7">
        <v>1</v>
      </c>
      <c r="E7">
        <v>0</v>
      </c>
      <c r="F7">
        <v>0</v>
      </c>
      <c r="G7">
        <v>2</v>
      </c>
      <c r="H7">
        <v>0</v>
      </c>
      <c r="I7">
        <v>1</v>
      </c>
      <c r="J7">
        <v>2</v>
      </c>
      <c r="K7">
        <v>0</v>
      </c>
      <c r="L7">
        <v>1</v>
      </c>
      <c r="M7">
        <v>3</v>
      </c>
      <c r="N7">
        <v>2</v>
      </c>
      <c r="O7">
        <v>1</v>
      </c>
      <c r="P7">
        <v>1</v>
      </c>
      <c r="Q7">
        <v>0</v>
      </c>
      <c r="R7">
        <v>0</v>
      </c>
      <c r="S7">
        <v>1</v>
      </c>
      <c r="T7">
        <v>0</v>
      </c>
      <c r="U7" t="s">
        <v>286</v>
      </c>
      <c r="Z7" s="91"/>
    </row>
    <row r="8" spans="1:26" x14ac:dyDescent="0.35">
      <c r="A8" s="80" t="s">
        <v>73</v>
      </c>
      <c r="B8" s="80" t="s">
        <v>296</v>
      </c>
      <c r="C8" s="80">
        <v>2</v>
      </c>
      <c r="D8" s="80">
        <v>5</v>
      </c>
      <c r="E8" s="80">
        <v>0</v>
      </c>
      <c r="F8" s="80">
        <v>0</v>
      </c>
      <c r="G8" s="80">
        <v>0</v>
      </c>
      <c r="H8" s="80">
        <v>0</v>
      </c>
      <c r="I8" s="80">
        <v>0</v>
      </c>
      <c r="J8" s="80">
        <v>2</v>
      </c>
      <c r="K8" s="80">
        <v>1</v>
      </c>
      <c r="L8" s="80">
        <v>0</v>
      </c>
      <c r="M8" s="80">
        <v>2</v>
      </c>
      <c r="N8" s="80">
        <v>2</v>
      </c>
      <c r="O8" s="80">
        <v>1</v>
      </c>
      <c r="P8" s="80">
        <v>4</v>
      </c>
      <c r="Q8" s="80">
        <v>0</v>
      </c>
      <c r="R8" s="80">
        <v>0</v>
      </c>
      <c r="S8" s="80">
        <v>1</v>
      </c>
      <c r="T8" s="80">
        <v>0</v>
      </c>
      <c r="U8" s="80" t="s">
        <v>273</v>
      </c>
      <c r="V8" t="s">
        <v>321</v>
      </c>
      <c r="Z8" s="91"/>
    </row>
    <row r="9" spans="1:26" x14ac:dyDescent="0.35">
      <c r="A9" t="s">
        <v>74</v>
      </c>
      <c r="B9" t="s">
        <v>297</v>
      </c>
      <c r="C9">
        <v>2</v>
      </c>
      <c r="D9">
        <v>4</v>
      </c>
      <c r="E9">
        <v>0</v>
      </c>
      <c r="F9">
        <v>0</v>
      </c>
      <c r="G9">
        <v>1</v>
      </c>
      <c r="H9">
        <v>0</v>
      </c>
      <c r="I9">
        <v>0</v>
      </c>
      <c r="J9">
        <v>5</v>
      </c>
      <c r="K9">
        <v>0</v>
      </c>
      <c r="L9">
        <v>0</v>
      </c>
      <c r="M9">
        <v>1</v>
      </c>
      <c r="N9">
        <v>3</v>
      </c>
      <c r="O9">
        <v>1</v>
      </c>
      <c r="P9">
        <v>3</v>
      </c>
      <c r="Q9">
        <v>0</v>
      </c>
      <c r="R9">
        <v>0</v>
      </c>
      <c r="S9">
        <v>2</v>
      </c>
      <c r="T9">
        <v>0</v>
      </c>
      <c r="U9" t="s">
        <v>319</v>
      </c>
    </row>
    <row r="10" spans="1:26" x14ac:dyDescent="0.35">
      <c r="A10" s="89" t="s">
        <v>4</v>
      </c>
      <c r="B10" s="89" t="s">
        <v>296</v>
      </c>
      <c r="C10" s="89">
        <v>1</v>
      </c>
      <c r="D10" s="89">
        <v>4</v>
      </c>
      <c r="E10" s="89">
        <v>0</v>
      </c>
      <c r="F10" s="89">
        <v>0</v>
      </c>
      <c r="G10" s="89">
        <v>0</v>
      </c>
      <c r="H10" s="89">
        <v>0</v>
      </c>
      <c r="I10" s="89">
        <v>0</v>
      </c>
      <c r="J10" s="89">
        <v>2</v>
      </c>
      <c r="K10" s="89">
        <v>2</v>
      </c>
      <c r="L10" s="89">
        <v>1</v>
      </c>
      <c r="M10" s="89">
        <v>1</v>
      </c>
      <c r="N10" s="89">
        <v>1</v>
      </c>
      <c r="O10" s="89">
        <v>1</v>
      </c>
      <c r="P10" s="89">
        <v>5</v>
      </c>
      <c r="Q10" s="89">
        <v>1</v>
      </c>
      <c r="R10" s="89">
        <v>0</v>
      </c>
      <c r="S10" s="89">
        <v>0</v>
      </c>
      <c r="T10" s="89">
        <v>0</v>
      </c>
      <c r="U10" s="89" t="s">
        <v>269</v>
      </c>
    </row>
    <row r="11" spans="1:26" x14ac:dyDescent="0.35">
      <c r="A11" s="89" t="s">
        <v>5</v>
      </c>
      <c r="B11" s="89" t="s">
        <v>297</v>
      </c>
      <c r="C11" s="89">
        <v>1</v>
      </c>
      <c r="D11" s="89">
        <v>5</v>
      </c>
      <c r="E11" s="89">
        <v>0</v>
      </c>
      <c r="F11" s="89">
        <v>0</v>
      </c>
      <c r="G11" s="89">
        <v>0</v>
      </c>
      <c r="H11" s="89">
        <v>0</v>
      </c>
      <c r="I11" s="89">
        <v>0</v>
      </c>
      <c r="J11" s="89">
        <v>5</v>
      </c>
      <c r="K11" s="89">
        <v>0</v>
      </c>
      <c r="L11" s="89">
        <v>0</v>
      </c>
      <c r="M11" s="89">
        <v>0</v>
      </c>
      <c r="N11" s="89">
        <v>2</v>
      </c>
      <c r="O11" s="89">
        <v>1</v>
      </c>
      <c r="P11" s="89">
        <v>5</v>
      </c>
      <c r="Q11" s="89">
        <v>0</v>
      </c>
      <c r="R11" s="89">
        <v>0</v>
      </c>
      <c r="S11" s="89">
        <v>0</v>
      </c>
      <c r="T11" s="89">
        <v>0</v>
      </c>
      <c r="U11" s="89" t="s">
        <v>270</v>
      </c>
    </row>
    <row r="12" spans="1:26" x14ac:dyDescent="0.35">
      <c r="A12" s="80" t="s">
        <v>75</v>
      </c>
      <c r="B12" s="80" t="s">
        <v>296</v>
      </c>
      <c r="C12" s="80">
        <v>4</v>
      </c>
      <c r="D12" s="80">
        <v>1</v>
      </c>
      <c r="E12" s="80">
        <v>0</v>
      </c>
      <c r="F12" s="80">
        <v>0</v>
      </c>
      <c r="G12" s="80">
        <v>1</v>
      </c>
      <c r="H12" s="80">
        <v>1</v>
      </c>
      <c r="I12" s="80">
        <v>0</v>
      </c>
      <c r="J12" s="80">
        <v>1</v>
      </c>
      <c r="K12" s="80">
        <v>1</v>
      </c>
      <c r="L12" s="80">
        <v>0</v>
      </c>
      <c r="M12" s="80">
        <v>2</v>
      </c>
      <c r="N12" s="80">
        <v>2</v>
      </c>
      <c r="O12" s="80">
        <v>2</v>
      </c>
      <c r="P12" s="80">
        <v>1</v>
      </c>
      <c r="Q12" s="80">
        <v>0</v>
      </c>
      <c r="R12" s="80">
        <v>0</v>
      </c>
      <c r="S12" s="80">
        <v>1</v>
      </c>
      <c r="T12" s="80">
        <v>2</v>
      </c>
      <c r="U12" s="80" t="s">
        <v>274</v>
      </c>
    </row>
    <row r="13" spans="1:26" x14ac:dyDescent="0.35">
      <c r="A13" s="80" t="s">
        <v>76</v>
      </c>
      <c r="B13" s="80" t="s">
        <v>297</v>
      </c>
      <c r="C13" s="80">
        <v>2</v>
      </c>
      <c r="D13" s="80">
        <v>1</v>
      </c>
      <c r="E13" s="80">
        <v>0</v>
      </c>
      <c r="F13" s="80">
        <v>0</v>
      </c>
      <c r="G13" s="80">
        <v>0</v>
      </c>
      <c r="H13" s="80">
        <v>0</v>
      </c>
      <c r="I13" s="80">
        <v>0</v>
      </c>
      <c r="J13" s="80">
        <v>4</v>
      </c>
      <c r="K13" s="80">
        <v>0</v>
      </c>
      <c r="L13" s="80">
        <v>0</v>
      </c>
      <c r="M13" s="80">
        <v>1</v>
      </c>
      <c r="N13" s="80">
        <v>3</v>
      </c>
      <c r="O13" s="80">
        <v>2</v>
      </c>
      <c r="P13" s="80">
        <v>1</v>
      </c>
      <c r="Q13" s="80">
        <v>0</v>
      </c>
      <c r="R13" s="80">
        <v>0</v>
      </c>
      <c r="S13" s="80">
        <v>0</v>
      </c>
      <c r="T13" s="80">
        <v>0</v>
      </c>
      <c r="U13" s="80" t="s">
        <v>275</v>
      </c>
    </row>
    <row r="14" spans="1:26" x14ac:dyDescent="0.35">
      <c r="A14" s="89" t="s">
        <v>81</v>
      </c>
      <c r="B14" s="89" t="s">
        <v>296</v>
      </c>
      <c r="C14" s="89">
        <v>1</v>
      </c>
      <c r="D14" s="89">
        <v>2</v>
      </c>
      <c r="E14" s="89">
        <v>0</v>
      </c>
      <c r="F14" s="89">
        <v>1</v>
      </c>
      <c r="G14" s="89">
        <v>0</v>
      </c>
      <c r="H14" s="89">
        <v>0</v>
      </c>
      <c r="I14" s="89">
        <v>0</v>
      </c>
      <c r="J14" s="89">
        <v>1</v>
      </c>
      <c r="K14" s="89">
        <v>1</v>
      </c>
      <c r="L14" s="89">
        <v>1</v>
      </c>
      <c r="M14" s="89">
        <v>2</v>
      </c>
      <c r="N14" s="89">
        <v>1</v>
      </c>
      <c r="O14" s="89">
        <v>1</v>
      </c>
      <c r="P14" s="89">
        <v>1</v>
      </c>
      <c r="Q14" s="89">
        <v>0</v>
      </c>
      <c r="R14" s="89">
        <v>1</v>
      </c>
      <c r="S14" s="89">
        <v>0</v>
      </c>
      <c r="T14" s="89">
        <v>0</v>
      </c>
      <c r="U14" s="89" t="s">
        <v>279</v>
      </c>
    </row>
    <row r="15" spans="1:26" x14ac:dyDescent="0.35">
      <c r="A15" s="89" t="s">
        <v>82</v>
      </c>
      <c r="B15" s="89" t="s">
        <v>297</v>
      </c>
      <c r="C15" s="89">
        <v>1</v>
      </c>
      <c r="D15" s="89">
        <v>2</v>
      </c>
      <c r="E15" s="89">
        <v>0</v>
      </c>
      <c r="F15" s="89">
        <v>1</v>
      </c>
      <c r="G15" s="89">
        <v>0</v>
      </c>
      <c r="H15" s="89">
        <v>0</v>
      </c>
      <c r="I15" s="89">
        <v>0</v>
      </c>
      <c r="J15" s="89">
        <v>3</v>
      </c>
      <c r="K15" s="89">
        <v>0</v>
      </c>
      <c r="L15" s="89">
        <v>0</v>
      </c>
      <c r="M15" s="89">
        <v>1</v>
      </c>
      <c r="N15" s="89">
        <v>1</v>
      </c>
      <c r="O15" s="89">
        <v>1</v>
      </c>
      <c r="P15" s="89">
        <v>1</v>
      </c>
      <c r="Q15" s="89">
        <v>0</v>
      </c>
      <c r="R15" s="89">
        <v>1</v>
      </c>
      <c r="S15" s="89">
        <v>0</v>
      </c>
      <c r="T15" s="89">
        <v>0</v>
      </c>
      <c r="U15" s="89" t="s">
        <v>280</v>
      </c>
    </row>
    <row r="16" spans="1:26" x14ac:dyDescent="0.35">
      <c r="A16" s="89" t="s">
        <v>91</v>
      </c>
      <c r="B16" s="89" t="s">
        <v>296</v>
      </c>
      <c r="C16" s="89">
        <v>0</v>
      </c>
      <c r="D16" s="89">
        <v>4</v>
      </c>
      <c r="E16" s="89">
        <v>0</v>
      </c>
      <c r="F16" s="89">
        <v>0</v>
      </c>
      <c r="G16" s="89">
        <v>0</v>
      </c>
      <c r="H16" s="89">
        <v>0</v>
      </c>
      <c r="I16" s="89">
        <v>0</v>
      </c>
      <c r="J16" s="89">
        <v>1</v>
      </c>
      <c r="K16" s="89">
        <v>0</v>
      </c>
      <c r="L16" s="89">
        <v>2</v>
      </c>
      <c r="M16" s="89">
        <v>3</v>
      </c>
      <c r="N16" s="89">
        <v>2</v>
      </c>
      <c r="O16" s="89">
        <v>0</v>
      </c>
      <c r="P16" s="89">
        <v>4</v>
      </c>
      <c r="Q16" s="89">
        <v>0</v>
      </c>
      <c r="R16" s="89">
        <v>0</v>
      </c>
      <c r="S16" s="89">
        <v>0</v>
      </c>
      <c r="T16" s="89">
        <v>0</v>
      </c>
      <c r="U16" s="89" t="s">
        <v>289</v>
      </c>
    </row>
    <row r="17" spans="1:26" x14ac:dyDescent="0.35">
      <c r="A17" s="89" t="s">
        <v>92</v>
      </c>
      <c r="B17" s="89" t="s">
        <v>297</v>
      </c>
      <c r="C17" s="89">
        <v>0</v>
      </c>
      <c r="D17" s="89">
        <v>3</v>
      </c>
      <c r="E17" s="89">
        <v>0</v>
      </c>
      <c r="F17" s="89">
        <v>0</v>
      </c>
      <c r="G17" s="89">
        <v>0</v>
      </c>
      <c r="H17" s="89">
        <v>0</v>
      </c>
      <c r="I17" s="89">
        <v>0</v>
      </c>
      <c r="J17" s="89">
        <v>5</v>
      </c>
      <c r="K17" s="89">
        <v>0</v>
      </c>
      <c r="L17" s="89">
        <v>0</v>
      </c>
      <c r="M17" s="89">
        <v>2</v>
      </c>
      <c r="N17" s="89">
        <v>3</v>
      </c>
      <c r="O17" s="89">
        <v>0</v>
      </c>
      <c r="P17" s="89">
        <v>3</v>
      </c>
      <c r="Q17" s="89">
        <v>0</v>
      </c>
      <c r="R17" s="89">
        <v>0</v>
      </c>
      <c r="S17" s="89">
        <v>0</v>
      </c>
      <c r="T17" s="89">
        <v>0</v>
      </c>
      <c r="U17" s="89" t="s">
        <v>290</v>
      </c>
    </row>
    <row r="18" spans="1:26" x14ac:dyDescent="0.35">
      <c r="A18" s="80" t="s">
        <v>89</v>
      </c>
      <c r="B18" s="80" t="s">
        <v>296</v>
      </c>
      <c r="C18" s="80">
        <v>1</v>
      </c>
      <c r="D18" s="80">
        <v>3</v>
      </c>
      <c r="E18" s="80">
        <v>0</v>
      </c>
      <c r="F18" s="80">
        <v>0</v>
      </c>
      <c r="G18" s="80">
        <v>2</v>
      </c>
      <c r="H18" s="80">
        <v>0</v>
      </c>
      <c r="I18" s="80">
        <v>0</v>
      </c>
      <c r="J18" s="80">
        <v>1</v>
      </c>
      <c r="K18" s="80">
        <v>0</v>
      </c>
      <c r="L18" s="80">
        <v>1</v>
      </c>
      <c r="M18" s="80">
        <v>2</v>
      </c>
      <c r="N18" s="80">
        <v>1</v>
      </c>
      <c r="O18" s="80">
        <v>1</v>
      </c>
      <c r="P18" s="80">
        <v>3</v>
      </c>
      <c r="Q18" s="80">
        <v>0</v>
      </c>
      <c r="R18" s="80">
        <v>0</v>
      </c>
      <c r="S18" s="80">
        <v>1</v>
      </c>
      <c r="T18" s="80">
        <v>0</v>
      </c>
      <c r="U18" s="80" t="s">
        <v>287</v>
      </c>
    </row>
    <row r="19" spans="1:26" x14ac:dyDescent="0.35">
      <c r="A19" s="80" t="s">
        <v>90</v>
      </c>
      <c r="B19" s="80" t="s">
        <v>297</v>
      </c>
      <c r="C19" s="80">
        <v>1</v>
      </c>
      <c r="D19" s="80">
        <v>2</v>
      </c>
      <c r="E19" s="80">
        <v>0</v>
      </c>
      <c r="F19" s="80">
        <v>1</v>
      </c>
      <c r="G19" s="80">
        <v>2</v>
      </c>
      <c r="H19" s="80">
        <v>0</v>
      </c>
      <c r="I19" s="80">
        <v>0</v>
      </c>
      <c r="J19" s="80">
        <v>4</v>
      </c>
      <c r="K19" s="80">
        <v>0</v>
      </c>
      <c r="L19" s="80">
        <v>0</v>
      </c>
      <c r="M19" s="80">
        <v>2</v>
      </c>
      <c r="N19" s="80">
        <v>2</v>
      </c>
      <c r="O19" s="80">
        <v>0</v>
      </c>
      <c r="P19" s="80">
        <v>1</v>
      </c>
      <c r="Q19" s="80">
        <v>0</v>
      </c>
      <c r="R19" s="80">
        <v>1</v>
      </c>
      <c r="S19" s="80">
        <v>2</v>
      </c>
      <c r="T19" s="80">
        <v>0</v>
      </c>
      <c r="U19" s="80" t="s">
        <v>288</v>
      </c>
    </row>
    <row r="20" spans="1:26" x14ac:dyDescent="0.35">
      <c r="A20" s="89" t="s">
        <v>79</v>
      </c>
      <c r="B20" s="89" t="s">
        <v>296</v>
      </c>
      <c r="C20" s="89">
        <v>1</v>
      </c>
      <c r="D20" s="89">
        <v>4</v>
      </c>
      <c r="E20" s="89">
        <v>0</v>
      </c>
      <c r="F20" s="89">
        <v>0</v>
      </c>
      <c r="G20" s="89">
        <v>1</v>
      </c>
      <c r="H20" s="89">
        <v>0</v>
      </c>
      <c r="I20" s="89">
        <v>0</v>
      </c>
      <c r="J20" s="89">
        <v>1</v>
      </c>
      <c r="K20" s="89">
        <v>2</v>
      </c>
      <c r="L20" s="89">
        <v>3</v>
      </c>
      <c r="M20" s="89">
        <v>2</v>
      </c>
      <c r="N20" s="89">
        <v>1</v>
      </c>
      <c r="O20" s="89">
        <v>1</v>
      </c>
      <c r="P20" s="89">
        <v>4</v>
      </c>
      <c r="Q20" s="89">
        <v>0</v>
      </c>
      <c r="R20" s="89">
        <v>0</v>
      </c>
      <c r="S20" s="89">
        <v>2</v>
      </c>
      <c r="T20" s="89">
        <v>0</v>
      </c>
      <c r="U20" s="89" t="s">
        <v>277</v>
      </c>
    </row>
    <row r="21" spans="1:26" x14ac:dyDescent="0.35">
      <c r="A21" s="89" t="s">
        <v>80</v>
      </c>
      <c r="B21" s="89" t="s">
        <v>297</v>
      </c>
      <c r="C21" s="89">
        <v>3</v>
      </c>
      <c r="D21" s="89">
        <v>2</v>
      </c>
      <c r="E21" s="89">
        <v>0</v>
      </c>
      <c r="F21" s="89">
        <v>1</v>
      </c>
      <c r="G21" s="89">
        <v>0</v>
      </c>
      <c r="H21" s="89">
        <v>0</v>
      </c>
      <c r="I21" s="89">
        <v>0</v>
      </c>
      <c r="J21" s="89">
        <v>3</v>
      </c>
      <c r="K21" s="89">
        <v>1</v>
      </c>
      <c r="L21" s="89">
        <v>1</v>
      </c>
      <c r="M21" s="89">
        <v>3</v>
      </c>
      <c r="N21" s="89">
        <v>2</v>
      </c>
      <c r="O21" s="89">
        <v>3</v>
      </c>
      <c r="P21" s="89">
        <v>2</v>
      </c>
      <c r="Q21" s="89">
        <v>0</v>
      </c>
      <c r="R21" s="89">
        <v>1</v>
      </c>
      <c r="S21" s="89">
        <v>1</v>
      </c>
      <c r="T21" s="89">
        <v>0</v>
      </c>
      <c r="U21" s="89" t="s">
        <v>278</v>
      </c>
    </row>
    <row r="22" spans="1:26" x14ac:dyDescent="0.35">
      <c r="A22" s="80" t="s">
        <v>77</v>
      </c>
      <c r="B22" s="80" t="s">
        <v>296</v>
      </c>
      <c r="C22" s="80">
        <v>3</v>
      </c>
      <c r="D22" s="80">
        <v>0</v>
      </c>
      <c r="E22" s="80">
        <v>0</v>
      </c>
      <c r="F22" s="80">
        <v>4</v>
      </c>
      <c r="G22" s="80">
        <v>0</v>
      </c>
      <c r="H22" s="80">
        <v>0</v>
      </c>
      <c r="I22" s="80">
        <v>0</v>
      </c>
      <c r="J22" s="80">
        <v>1</v>
      </c>
      <c r="K22" s="80">
        <v>0</v>
      </c>
      <c r="L22" s="80">
        <v>2</v>
      </c>
      <c r="M22" s="80">
        <v>3</v>
      </c>
      <c r="N22" s="80">
        <v>3</v>
      </c>
      <c r="O22" s="80">
        <v>2</v>
      </c>
      <c r="P22" s="80">
        <v>0</v>
      </c>
      <c r="Q22" s="80">
        <v>0</v>
      </c>
      <c r="R22" s="80">
        <v>4</v>
      </c>
      <c r="S22" s="80">
        <v>0</v>
      </c>
      <c r="T22" s="80">
        <v>0</v>
      </c>
      <c r="U22" s="80" t="s">
        <v>276</v>
      </c>
      <c r="Z22" s="91"/>
    </row>
    <row r="23" spans="1:26" x14ac:dyDescent="0.35">
      <c r="A23" s="80" t="s">
        <v>78</v>
      </c>
      <c r="B23" s="80" t="s">
        <v>297</v>
      </c>
      <c r="C23" s="80">
        <v>2</v>
      </c>
      <c r="D23" s="80">
        <v>0</v>
      </c>
      <c r="E23" s="80">
        <v>0</v>
      </c>
      <c r="F23" s="80">
        <v>3</v>
      </c>
      <c r="G23" s="80">
        <v>0</v>
      </c>
      <c r="H23" s="80">
        <v>0</v>
      </c>
      <c r="I23" s="80">
        <v>0</v>
      </c>
      <c r="J23" s="80">
        <v>3</v>
      </c>
      <c r="K23" s="80">
        <v>0</v>
      </c>
      <c r="L23" s="80">
        <v>1</v>
      </c>
      <c r="M23" s="80">
        <v>3</v>
      </c>
      <c r="N23" s="80">
        <v>3</v>
      </c>
      <c r="O23" s="80">
        <v>1</v>
      </c>
      <c r="P23" s="80">
        <v>0</v>
      </c>
      <c r="Q23" s="80">
        <v>0</v>
      </c>
      <c r="R23" s="80">
        <v>3</v>
      </c>
      <c r="S23" s="80">
        <v>0</v>
      </c>
      <c r="T23" s="80">
        <v>0</v>
      </c>
      <c r="U23" s="80" t="s">
        <v>319</v>
      </c>
      <c r="Z23" s="91"/>
    </row>
    <row r="24" spans="1:26" x14ac:dyDescent="0.35">
      <c r="A24" s="89" t="s">
        <v>85</v>
      </c>
      <c r="B24" s="89" t="s">
        <v>296</v>
      </c>
      <c r="C24" s="89">
        <v>0</v>
      </c>
      <c r="D24" s="89">
        <v>1</v>
      </c>
      <c r="E24" s="89">
        <v>0</v>
      </c>
      <c r="F24" s="89">
        <v>0</v>
      </c>
      <c r="G24" s="89">
        <v>0</v>
      </c>
      <c r="H24" s="89">
        <v>0</v>
      </c>
      <c r="I24" s="89">
        <v>0</v>
      </c>
      <c r="J24" s="89">
        <v>1</v>
      </c>
      <c r="K24" s="89">
        <v>1</v>
      </c>
      <c r="L24" s="89">
        <v>0</v>
      </c>
      <c r="M24" s="89">
        <v>3</v>
      </c>
      <c r="N24" s="89">
        <v>1</v>
      </c>
      <c r="O24" s="89">
        <v>0</v>
      </c>
      <c r="P24" s="89">
        <v>1</v>
      </c>
      <c r="Q24" s="89">
        <v>0</v>
      </c>
      <c r="R24" s="89">
        <v>0</v>
      </c>
      <c r="S24" s="89">
        <v>0</v>
      </c>
      <c r="T24" s="89">
        <v>0</v>
      </c>
      <c r="U24" s="89" t="s">
        <v>283</v>
      </c>
      <c r="Z24" s="91"/>
    </row>
    <row r="25" spans="1:26" x14ac:dyDescent="0.35">
      <c r="A25" s="89" t="s">
        <v>86</v>
      </c>
      <c r="B25" s="89" t="s">
        <v>297</v>
      </c>
      <c r="C25" s="89">
        <v>0</v>
      </c>
      <c r="D25" s="89">
        <v>1</v>
      </c>
      <c r="E25" s="89">
        <v>0</v>
      </c>
      <c r="F25" s="89">
        <v>0</v>
      </c>
      <c r="G25" s="89">
        <v>0</v>
      </c>
      <c r="H25" s="89">
        <v>0</v>
      </c>
      <c r="I25" s="89">
        <v>0</v>
      </c>
      <c r="J25" s="89">
        <v>2</v>
      </c>
      <c r="K25" s="89">
        <v>1</v>
      </c>
      <c r="L25" s="89">
        <v>0</v>
      </c>
      <c r="M25" s="89">
        <v>4</v>
      </c>
      <c r="N25" s="89">
        <v>1</v>
      </c>
      <c r="O25" s="89">
        <v>0</v>
      </c>
      <c r="P25" s="89">
        <v>1</v>
      </c>
      <c r="Q25" s="89">
        <v>0</v>
      </c>
      <c r="R25" s="89">
        <v>0</v>
      </c>
      <c r="S25" s="89">
        <v>0</v>
      </c>
      <c r="T25" s="89">
        <v>0</v>
      </c>
      <c r="U25" s="89" t="s">
        <v>284</v>
      </c>
    </row>
    <row r="26" spans="1:26" x14ac:dyDescent="0.35">
      <c r="A26" s="89" t="s">
        <v>83</v>
      </c>
      <c r="B26" s="89" t="s">
        <v>296</v>
      </c>
      <c r="C26" s="89">
        <v>1</v>
      </c>
      <c r="D26" s="89">
        <v>3</v>
      </c>
      <c r="E26" s="89">
        <v>0</v>
      </c>
      <c r="F26" s="89">
        <v>0</v>
      </c>
      <c r="G26" s="89">
        <v>0</v>
      </c>
      <c r="H26" s="89">
        <v>0</v>
      </c>
      <c r="I26" s="89">
        <v>0</v>
      </c>
      <c r="J26" s="89">
        <v>1</v>
      </c>
      <c r="K26" s="89">
        <v>2</v>
      </c>
      <c r="L26" s="89">
        <v>1</v>
      </c>
      <c r="M26" s="89">
        <v>2</v>
      </c>
      <c r="N26" s="89">
        <v>1</v>
      </c>
      <c r="O26" s="89">
        <v>0</v>
      </c>
      <c r="P26" s="89">
        <v>3</v>
      </c>
      <c r="Q26" s="89">
        <v>0</v>
      </c>
      <c r="R26" s="89">
        <v>0</v>
      </c>
      <c r="S26" s="89">
        <v>0</v>
      </c>
      <c r="T26" s="89">
        <v>0</v>
      </c>
      <c r="U26" s="89" t="s">
        <v>281</v>
      </c>
    </row>
    <row r="27" spans="1:26" x14ac:dyDescent="0.35">
      <c r="A27" s="89" t="s">
        <v>84</v>
      </c>
      <c r="B27" s="89" t="s">
        <v>297</v>
      </c>
      <c r="C27" s="89">
        <v>1</v>
      </c>
      <c r="D27" s="89">
        <v>2</v>
      </c>
      <c r="E27" s="89">
        <v>0</v>
      </c>
      <c r="F27" s="89">
        <v>0</v>
      </c>
      <c r="G27" s="89">
        <v>0</v>
      </c>
      <c r="H27" s="89">
        <v>0</v>
      </c>
      <c r="I27" s="89">
        <v>1</v>
      </c>
      <c r="J27" s="89">
        <v>3</v>
      </c>
      <c r="K27" s="89">
        <v>0</v>
      </c>
      <c r="L27" s="89">
        <v>0</v>
      </c>
      <c r="M27" s="89">
        <v>1</v>
      </c>
      <c r="N27" s="89">
        <v>2</v>
      </c>
      <c r="O27" s="89">
        <v>1</v>
      </c>
      <c r="P27" s="89">
        <v>2</v>
      </c>
      <c r="Q27" s="89">
        <v>0</v>
      </c>
      <c r="R27" s="89">
        <v>0</v>
      </c>
      <c r="S27" s="89">
        <v>0</v>
      </c>
      <c r="T27" s="89">
        <v>0</v>
      </c>
      <c r="U27" s="89" t="s">
        <v>282</v>
      </c>
    </row>
    <row r="28" spans="1:26" x14ac:dyDescent="0.35">
      <c r="A28" s="89" t="s">
        <v>107</v>
      </c>
      <c r="B28" s="89" t="s">
        <v>296</v>
      </c>
      <c r="C28" s="89">
        <v>2</v>
      </c>
      <c r="D28" s="89">
        <v>2</v>
      </c>
      <c r="E28" s="89">
        <v>0</v>
      </c>
      <c r="F28" s="89">
        <v>0</v>
      </c>
      <c r="G28" s="89">
        <v>0</v>
      </c>
      <c r="H28" s="89">
        <v>0</v>
      </c>
      <c r="I28" s="89">
        <v>0</v>
      </c>
      <c r="J28" s="89">
        <v>0</v>
      </c>
      <c r="K28" s="89">
        <v>0</v>
      </c>
      <c r="L28" s="89">
        <v>3</v>
      </c>
      <c r="M28" s="89">
        <v>3</v>
      </c>
      <c r="N28" s="89">
        <v>2</v>
      </c>
      <c r="O28" s="89">
        <v>2</v>
      </c>
      <c r="P28" s="89">
        <v>2</v>
      </c>
      <c r="Q28" s="89">
        <v>0</v>
      </c>
      <c r="R28" s="89">
        <v>1</v>
      </c>
      <c r="S28" s="89">
        <v>0</v>
      </c>
      <c r="T28" s="89">
        <v>0</v>
      </c>
      <c r="U28" s="89" t="s">
        <v>293</v>
      </c>
    </row>
    <row r="29" spans="1:26" x14ac:dyDescent="0.35">
      <c r="A29" s="89" t="s">
        <v>95</v>
      </c>
      <c r="B29" s="89" t="s">
        <v>297</v>
      </c>
      <c r="C29" s="89">
        <v>2</v>
      </c>
      <c r="D29" s="89">
        <v>2</v>
      </c>
      <c r="E29" s="89">
        <v>0</v>
      </c>
      <c r="F29" s="89">
        <v>0</v>
      </c>
      <c r="G29" s="89">
        <v>0</v>
      </c>
      <c r="H29" s="89">
        <v>0</v>
      </c>
      <c r="I29" s="89">
        <v>0</v>
      </c>
      <c r="J29" s="89">
        <v>4</v>
      </c>
      <c r="K29" s="89">
        <v>0</v>
      </c>
      <c r="L29" s="89">
        <v>1</v>
      </c>
      <c r="M29" s="89">
        <v>3</v>
      </c>
      <c r="N29" s="89">
        <v>3</v>
      </c>
      <c r="O29" s="89">
        <v>2</v>
      </c>
      <c r="P29" s="89">
        <v>1</v>
      </c>
      <c r="Q29" s="89">
        <v>0</v>
      </c>
      <c r="R29" s="89">
        <v>2</v>
      </c>
      <c r="S29" s="89">
        <v>0</v>
      </c>
      <c r="T29" s="89">
        <v>0</v>
      </c>
      <c r="U29" s="89" t="s">
        <v>319</v>
      </c>
    </row>
    <row r="30" spans="1:26" x14ac:dyDescent="0.35">
      <c r="A30" s="89" t="s">
        <v>93</v>
      </c>
      <c r="B30" s="89" t="s">
        <v>296</v>
      </c>
      <c r="C30" s="89">
        <v>2</v>
      </c>
      <c r="D30" s="89">
        <v>2</v>
      </c>
      <c r="E30" s="89">
        <v>0</v>
      </c>
      <c r="F30" s="89">
        <v>0</v>
      </c>
      <c r="G30" s="89">
        <v>2</v>
      </c>
      <c r="H30" s="89">
        <v>0</v>
      </c>
      <c r="I30" s="89">
        <v>0</v>
      </c>
      <c r="J30" s="89">
        <v>1</v>
      </c>
      <c r="K30" s="89">
        <v>0</v>
      </c>
      <c r="L30" s="89">
        <v>1</v>
      </c>
      <c r="M30" s="89">
        <v>4</v>
      </c>
      <c r="N30" s="89">
        <v>2</v>
      </c>
      <c r="O30" s="89">
        <v>2</v>
      </c>
      <c r="P30" s="89">
        <v>0</v>
      </c>
      <c r="Q30" s="89">
        <v>0</v>
      </c>
      <c r="R30" s="89">
        <v>2</v>
      </c>
      <c r="S30" s="89">
        <v>1</v>
      </c>
      <c r="T30" s="89">
        <v>0</v>
      </c>
      <c r="U30" s="89" t="s">
        <v>291</v>
      </c>
    </row>
    <row r="31" spans="1:26" x14ac:dyDescent="0.35">
      <c r="A31" s="89" t="s">
        <v>94</v>
      </c>
      <c r="B31" s="89" t="s">
        <v>297</v>
      </c>
      <c r="C31" s="89">
        <v>1</v>
      </c>
      <c r="D31" s="89">
        <v>1</v>
      </c>
      <c r="E31" s="89">
        <v>0</v>
      </c>
      <c r="F31" s="89">
        <v>0</v>
      </c>
      <c r="G31" s="89">
        <v>1</v>
      </c>
      <c r="H31" s="89">
        <v>0</v>
      </c>
      <c r="I31" s="89">
        <v>0</v>
      </c>
      <c r="J31" s="89">
        <v>5</v>
      </c>
      <c r="K31" s="89">
        <v>0</v>
      </c>
      <c r="L31" s="89">
        <v>0</v>
      </c>
      <c r="M31" s="89">
        <v>3</v>
      </c>
      <c r="N31" s="89">
        <v>3</v>
      </c>
      <c r="O31" s="89">
        <v>1</v>
      </c>
      <c r="P31" s="89">
        <v>0</v>
      </c>
      <c r="Q31" s="89">
        <v>0</v>
      </c>
      <c r="R31" s="89">
        <v>3</v>
      </c>
      <c r="S31" s="89">
        <v>1</v>
      </c>
      <c r="T31" s="89">
        <v>0</v>
      </c>
      <c r="U31" s="89" t="s">
        <v>292</v>
      </c>
    </row>
    <row r="32" spans="1:26" x14ac:dyDescent="0.35">
      <c r="A32" s="80" t="s">
        <v>6</v>
      </c>
      <c r="B32" s="80" t="s">
        <v>296</v>
      </c>
      <c r="C32" s="80">
        <v>4</v>
      </c>
      <c r="D32" s="80">
        <v>2</v>
      </c>
      <c r="E32" s="80">
        <v>1</v>
      </c>
      <c r="F32" s="80">
        <v>0</v>
      </c>
      <c r="G32" s="80">
        <v>0</v>
      </c>
      <c r="H32" s="80">
        <v>0</v>
      </c>
      <c r="I32" s="80">
        <v>1</v>
      </c>
      <c r="J32" s="80">
        <v>1</v>
      </c>
      <c r="K32" s="80">
        <v>0</v>
      </c>
      <c r="L32" s="80">
        <v>3</v>
      </c>
      <c r="M32" s="80">
        <v>5</v>
      </c>
      <c r="N32" s="80">
        <v>3</v>
      </c>
      <c r="O32" s="80">
        <v>5</v>
      </c>
      <c r="P32" s="80">
        <v>1</v>
      </c>
      <c r="Q32" s="80">
        <v>2</v>
      </c>
      <c r="R32" s="80">
        <v>0</v>
      </c>
      <c r="S32" s="80">
        <v>1</v>
      </c>
      <c r="T32" s="80">
        <v>0</v>
      </c>
      <c r="U32" s="80" t="s">
        <v>271</v>
      </c>
    </row>
    <row r="33" spans="1:21" x14ac:dyDescent="0.35">
      <c r="A33" s="80" t="s">
        <v>7</v>
      </c>
      <c r="B33" s="80" t="s">
        <v>297</v>
      </c>
      <c r="C33" s="80">
        <v>3</v>
      </c>
      <c r="D33" s="80">
        <v>3</v>
      </c>
      <c r="E33" s="80">
        <v>0</v>
      </c>
      <c r="F33" s="80">
        <v>0</v>
      </c>
      <c r="G33" s="80">
        <v>2</v>
      </c>
      <c r="H33" s="80">
        <v>0</v>
      </c>
      <c r="I33" s="80">
        <v>0</v>
      </c>
      <c r="J33" s="80">
        <v>4</v>
      </c>
      <c r="K33" s="80">
        <v>0</v>
      </c>
      <c r="L33" s="80">
        <v>2</v>
      </c>
      <c r="M33" s="80">
        <v>4</v>
      </c>
      <c r="N33" s="80">
        <v>4</v>
      </c>
      <c r="O33" s="80">
        <v>2</v>
      </c>
      <c r="P33" s="80">
        <v>3</v>
      </c>
      <c r="Q33" s="80">
        <v>1</v>
      </c>
      <c r="R33" s="80">
        <v>0</v>
      </c>
      <c r="S33" s="80">
        <v>2</v>
      </c>
      <c r="T33" s="80">
        <v>0</v>
      </c>
      <c r="U33" s="80" t="s">
        <v>272</v>
      </c>
    </row>
    <row r="35" spans="1:21" x14ac:dyDescent="0.35">
      <c r="B35" s="90"/>
      <c r="C35" s="91" t="s">
        <v>193</v>
      </c>
      <c r="D35" s="91" t="s">
        <v>194</v>
      </c>
      <c r="E35" s="91" t="s">
        <v>195</v>
      </c>
      <c r="F35" s="91" t="s">
        <v>266</v>
      </c>
      <c r="G35" s="91" t="s">
        <v>196</v>
      </c>
      <c r="H35" s="91" t="s">
        <v>198</v>
      </c>
      <c r="I35" s="91" t="s">
        <v>113</v>
      </c>
      <c r="J35" t="s">
        <v>114</v>
      </c>
      <c r="K35" t="s">
        <v>115</v>
      </c>
      <c r="L35" t="s">
        <v>116</v>
      </c>
      <c r="M35" t="s">
        <v>117</v>
      </c>
      <c r="N35" t="s">
        <v>118</v>
      </c>
      <c r="O35" t="s">
        <v>199</v>
      </c>
      <c r="P35" t="s">
        <v>200</v>
      </c>
      <c r="Q35" t="s">
        <v>201</v>
      </c>
      <c r="R35" t="s">
        <v>267</v>
      </c>
      <c r="S35" t="s">
        <v>202</v>
      </c>
      <c r="T35" t="s">
        <v>204</v>
      </c>
    </row>
    <row r="36" spans="1:21" x14ac:dyDescent="0.35">
      <c r="B36" t="s">
        <v>75</v>
      </c>
      <c r="C36">
        <v>4</v>
      </c>
      <c r="D36">
        <v>1</v>
      </c>
      <c r="E36">
        <v>0</v>
      </c>
      <c r="F36">
        <v>0</v>
      </c>
      <c r="G36">
        <v>1</v>
      </c>
      <c r="H36">
        <v>1</v>
      </c>
      <c r="I36">
        <v>0</v>
      </c>
      <c r="J36">
        <v>1</v>
      </c>
      <c r="K36">
        <v>1</v>
      </c>
      <c r="L36">
        <v>0</v>
      </c>
      <c r="M36">
        <v>2</v>
      </c>
      <c r="N36">
        <v>2</v>
      </c>
      <c r="O36">
        <v>2</v>
      </c>
      <c r="P36">
        <v>1</v>
      </c>
      <c r="Q36">
        <v>0</v>
      </c>
      <c r="R36">
        <v>0</v>
      </c>
      <c r="S36">
        <v>1</v>
      </c>
      <c r="T36">
        <v>2</v>
      </c>
    </row>
    <row r="37" spans="1:21" x14ac:dyDescent="0.35">
      <c r="B37" t="s">
        <v>76</v>
      </c>
      <c r="C37">
        <v>2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4</v>
      </c>
      <c r="K37">
        <v>0</v>
      </c>
      <c r="L37">
        <v>0</v>
      </c>
      <c r="M37">
        <v>1</v>
      </c>
      <c r="N37">
        <v>3</v>
      </c>
      <c r="O37">
        <v>2</v>
      </c>
      <c r="P37">
        <v>1</v>
      </c>
      <c r="Q37">
        <v>0</v>
      </c>
      <c r="R37">
        <v>0</v>
      </c>
      <c r="S37">
        <v>0</v>
      </c>
      <c r="T37">
        <v>0</v>
      </c>
    </row>
    <row r="38" spans="1:21" x14ac:dyDescent="0.35">
      <c r="B38" t="s">
        <v>89</v>
      </c>
      <c r="C38">
        <v>1</v>
      </c>
      <c r="D38">
        <v>3</v>
      </c>
      <c r="E38">
        <v>0</v>
      </c>
      <c r="F38">
        <v>0</v>
      </c>
      <c r="G38">
        <v>2</v>
      </c>
      <c r="H38">
        <v>0</v>
      </c>
      <c r="I38">
        <v>0</v>
      </c>
      <c r="J38">
        <v>1</v>
      </c>
      <c r="K38">
        <v>0</v>
      </c>
      <c r="L38">
        <v>1</v>
      </c>
      <c r="M38">
        <v>2</v>
      </c>
      <c r="N38">
        <v>1</v>
      </c>
      <c r="O38">
        <v>1</v>
      </c>
      <c r="P38">
        <v>3</v>
      </c>
      <c r="Q38">
        <v>0</v>
      </c>
      <c r="R38">
        <v>0</v>
      </c>
      <c r="S38">
        <v>1</v>
      </c>
      <c r="T38">
        <v>0</v>
      </c>
    </row>
    <row r="39" spans="1:21" x14ac:dyDescent="0.35">
      <c r="B39" t="s">
        <v>90</v>
      </c>
      <c r="C39">
        <v>1</v>
      </c>
      <c r="D39">
        <v>2</v>
      </c>
      <c r="E39">
        <v>0</v>
      </c>
      <c r="F39">
        <v>1</v>
      </c>
      <c r="G39">
        <v>2</v>
      </c>
      <c r="H39">
        <v>0</v>
      </c>
      <c r="I39">
        <v>0</v>
      </c>
      <c r="J39">
        <v>4</v>
      </c>
      <c r="K39">
        <v>0</v>
      </c>
      <c r="L39">
        <v>0</v>
      </c>
      <c r="M39">
        <v>2</v>
      </c>
      <c r="N39">
        <v>2</v>
      </c>
      <c r="O39">
        <v>0</v>
      </c>
      <c r="P39">
        <v>1</v>
      </c>
      <c r="Q39">
        <v>0</v>
      </c>
      <c r="R39">
        <v>1</v>
      </c>
      <c r="S39">
        <v>2</v>
      </c>
      <c r="T39">
        <v>0</v>
      </c>
    </row>
    <row r="40" spans="1:21" x14ac:dyDescent="0.35">
      <c r="B40" t="s">
        <v>77</v>
      </c>
      <c r="C40">
        <v>3</v>
      </c>
      <c r="D40">
        <v>0</v>
      </c>
      <c r="E40">
        <v>0</v>
      </c>
      <c r="F40">
        <v>4</v>
      </c>
      <c r="G40">
        <v>0</v>
      </c>
      <c r="H40">
        <v>0</v>
      </c>
      <c r="I40">
        <v>0</v>
      </c>
      <c r="J40">
        <v>1</v>
      </c>
      <c r="K40">
        <v>0</v>
      </c>
      <c r="L40">
        <v>2</v>
      </c>
      <c r="M40">
        <v>3</v>
      </c>
      <c r="N40">
        <v>3</v>
      </c>
      <c r="O40">
        <v>2</v>
      </c>
      <c r="P40">
        <v>0</v>
      </c>
      <c r="Q40">
        <v>0</v>
      </c>
      <c r="R40">
        <v>4</v>
      </c>
      <c r="S40">
        <v>0</v>
      </c>
      <c r="T40">
        <v>0</v>
      </c>
    </row>
    <row r="41" spans="1:21" x14ac:dyDescent="0.35">
      <c r="B41" t="s">
        <v>78</v>
      </c>
      <c r="C41">
        <v>2</v>
      </c>
      <c r="D41">
        <v>0</v>
      </c>
      <c r="E41">
        <v>0</v>
      </c>
      <c r="F41">
        <v>3</v>
      </c>
      <c r="G41">
        <v>0</v>
      </c>
      <c r="H41">
        <v>0</v>
      </c>
      <c r="I41">
        <v>0</v>
      </c>
      <c r="J41">
        <v>3</v>
      </c>
      <c r="K41">
        <v>0</v>
      </c>
      <c r="L41">
        <v>1</v>
      </c>
      <c r="M41">
        <v>3</v>
      </c>
      <c r="N41">
        <v>3</v>
      </c>
      <c r="O41">
        <v>1</v>
      </c>
      <c r="P41">
        <v>0</v>
      </c>
      <c r="Q41">
        <v>0</v>
      </c>
      <c r="R41">
        <v>3</v>
      </c>
      <c r="S41">
        <v>0</v>
      </c>
      <c r="T41">
        <v>0</v>
      </c>
    </row>
    <row r="42" spans="1:21" x14ac:dyDescent="0.35">
      <c r="B42" t="s">
        <v>6</v>
      </c>
      <c r="C42">
        <v>4</v>
      </c>
      <c r="D42">
        <v>2</v>
      </c>
      <c r="E42">
        <v>1</v>
      </c>
      <c r="F42">
        <v>0</v>
      </c>
      <c r="G42">
        <v>0</v>
      </c>
      <c r="H42">
        <v>0</v>
      </c>
      <c r="I42">
        <v>1</v>
      </c>
      <c r="J42">
        <v>1</v>
      </c>
      <c r="K42">
        <v>0</v>
      </c>
      <c r="L42">
        <v>3</v>
      </c>
      <c r="M42">
        <v>5</v>
      </c>
      <c r="N42">
        <v>3</v>
      </c>
      <c r="O42">
        <v>5</v>
      </c>
      <c r="P42">
        <v>1</v>
      </c>
      <c r="Q42">
        <v>2</v>
      </c>
      <c r="R42">
        <v>0</v>
      </c>
      <c r="S42">
        <v>1</v>
      </c>
      <c r="T42">
        <v>0</v>
      </c>
    </row>
    <row r="43" spans="1:21" x14ac:dyDescent="0.35">
      <c r="B43" t="s">
        <v>7</v>
      </c>
      <c r="C43">
        <v>3</v>
      </c>
      <c r="D43">
        <v>3</v>
      </c>
      <c r="E43">
        <v>0</v>
      </c>
      <c r="F43">
        <v>0</v>
      </c>
      <c r="G43">
        <v>2</v>
      </c>
      <c r="H43">
        <v>0</v>
      </c>
      <c r="I43">
        <v>0</v>
      </c>
      <c r="J43">
        <v>4</v>
      </c>
      <c r="K43">
        <v>0</v>
      </c>
      <c r="L43">
        <v>2</v>
      </c>
      <c r="M43">
        <v>4</v>
      </c>
      <c r="N43">
        <v>4</v>
      </c>
      <c r="O43">
        <v>2</v>
      </c>
      <c r="P43">
        <v>3</v>
      </c>
      <c r="Q43">
        <v>1</v>
      </c>
      <c r="R43">
        <v>0</v>
      </c>
      <c r="S43">
        <v>2</v>
      </c>
      <c r="T43">
        <v>0</v>
      </c>
    </row>
    <row r="44" spans="1:21" x14ac:dyDescent="0.35">
      <c r="B44" t="s">
        <v>4</v>
      </c>
      <c r="C44">
        <v>1</v>
      </c>
      <c r="D44">
        <v>4</v>
      </c>
      <c r="E44">
        <v>0</v>
      </c>
      <c r="F44">
        <v>0</v>
      </c>
      <c r="G44">
        <v>0</v>
      </c>
      <c r="H44">
        <v>0</v>
      </c>
      <c r="I44">
        <v>0</v>
      </c>
      <c r="J44">
        <v>2</v>
      </c>
      <c r="K44">
        <v>2</v>
      </c>
      <c r="L44">
        <v>1</v>
      </c>
      <c r="M44">
        <v>1</v>
      </c>
      <c r="N44">
        <v>1</v>
      </c>
      <c r="O44">
        <v>1</v>
      </c>
      <c r="P44">
        <v>5</v>
      </c>
      <c r="Q44">
        <v>1</v>
      </c>
      <c r="R44">
        <v>0</v>
      </c>
      <c r="S44">
        <v>0</v>
      </c>
      <c r="T44">
        <v>0</v>
      </c>
    </row>
    <row r="45" spans="1:21" x14ac:dyDescent="0.35">
      <c r="B45" t="s">
        <v>5</v>
      </c>
      <c r="C45">
        <v>1</v>
      </c>
      <c r="D45">
        <v>5</v>
      </c>
      <c r="E45">
        <v>0</v>
      </c>
      <c r="F45">
        <v>0</v>
      </c>
      <c r="G45">
        <v>0</v>
      </c>
      <c r="H45">
        <v>0</v>
      </c>
      <c r="I45">
        <v>0</v>
      </c>
      <c r="J45">
        <v>5</v>
      </c>
      <c r="K45">
        <v>0</v>
      </c>
      <c r="L45">
        <v>0</v>
      </c>
      <c r="M45">
        <v>0</v>
      </c>
      <c r="N45">
        <v>2</v>
      </c>
      <c r="O45">
        <v>1</v>
      </c>
      <c r="P45">
        <v>5</v>
      </c>
      <c r="Q45">
        <v>0</v>
      </c>
      <c r="R45">
        <v>0</v>
      </c>
      <c r="S45">
        <v>0</v>
      </c>
      <c r="T45">
        <v>0</v>
      </c>
    </row>
    <row r="86" spans="2:10" x14ac:dyDescent="0.35">
      <c r="C86" t="s">
        <v>75</v>
      </c>
      <c r="D86" t="s">
        <v>76</v>
      </c>
      <c r="E86" t="s">
        <v>89</v>
      </c>
      <c r="F86" t="s">
        <v>90</v>
      </c>
      <c r="G86" t="s">
        <v>77</v>
      </c>
      <c r="H86" t="s">
        <v>78</v>
      </c>
      <c r="I86" t="s">
        <v>6</v>
      </c>
      <c r="J86" t="s">
        <v>7</v>
      </c>
    </row>
    <row r="87" spans="2:10" x14ac:dyDescent="0.35">
      <c r="B87" t="s">
        <v>322</v>
      </c>
      <c r="C87">
        <f>MIN(C89:C106)</f>
        <v>0</v>
      </c>
      <c r="D87">
        <f t="shared" ref="D87:J87" si="0">MIN(D89:D106)</f>
        <v>0</v>
      </c>
      <c r="E87">
        <f t="shared" si="0"/>
        <v>0</v>
      </c>
      <c r="F87">
        <f t="shared" si="0"/>
        <v>0</v>
      </c>
      <c r="G87">
        <f t="shared" si="0"/>
        <v>0</v>
      </c>
      <c r="H87">
        <f t="shared" si="0"/>
        <v>0</v>
      </c>
      <c r="I87">
        <f t="shared" si="0"/>
        <v>0</v>
      </c>
      <c r="J87">
        <f t="shared" si="0"/>
        <v>0</v>
      </c>
    </row>
    <row r="88" spans="2:10" x14ac:dyDescent="0.35">
      <c r="B88" t="s">
        <v>323</v>
      </c>
      <c r="C88">
        <f>MAX(C89:C106)</f>
        <v>4</v>
      </c>
      <c r="D88">
        <f t="shared" ref="D88:J88" si="1">MAX(D89:D106)</f>
        <v>4</v>
      </c>
      <c r="E88">
        <f t="shared" si="1"/>
        <v>3</v>
      </c>
      <c r="F88">
        <f t="shared" si="1"/>
        <v>4</v>
      </c>
      <c r="G88">
        <f t="shared" si="1"/>
        <v>4</v>
      </c>
      <c r="H88">
        <f t="shared" si="1"/>
        <v>3</v>
      </c>
      <c r="I88">
        <f t="shared" si="1"/>
        <v>5</v>
      </c>
      <c r="J88">
        <f t="shared" si="1"/>
        <v>4</v>
      </c>
    </row>
    <row r="89" spans="2:10" x14ac:dyDescent="0.35">
      <c r="B89" t="s">
        <v>193</v>
      </c>
      <c r="C89">
        <v>4</v>
      </c>
      <c r="D89">
        <v>2</v>
      </c>
      <c r="E89">
        <v>1</v>
      </c>
      <c r="F89">
        <v>1</v>
      </c>
      <c r="G89">
        <v>3</v>
      </c>
      <c r="H89">
        <v>2</v>
      </c>
      <c r="I89">
        <v>4</v>
      </c>
      <c r="J89">
        <v>3</v>
      </c>
    </row>
    <row r="90" spans="2:10" x14ac:dyDescent="0.35">
      <c r="B90" t="s">
        <v>194</v>
      </c>
      <c r="C90">
        <v>1</v>
      </c>
      <c r="D90">
        <v>1</v>
      </c>
      <c r="E90">
        <v>3</v>
      </c>
      <c r="F90">
        <v>2</v>
      </c>
      <c r="G90">
        <v>0</v>
      </c>
      <c r="H90">
        <v>0</v>
      </c>
      <c r="I90">
        <v>2</v>
      </c>
      <c r="J90">
        <v>3</v>
      </c>
    </row>
    <row r="91" spans="2:10" x14ac:dyDescent="0.35">
      <c r="B91" t="s">
        <v>195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</row>
    <row r="92" spans="2:10" x14ac:dyDescent="0.35">
      <c r="B92" t="s">
        <v>266</v>
      </c>
      <c r="C92">
        <v>0</v>
      </c>
      <c r="D92">
        <v>0</v>
      </c>
      <c r="E92">
        <v>0</v>
      </c>
      <c r="F92">
        <v>1</v>
      </c>
      <c r="G92">
        <v>4</v>
      </c>
      <c r="H92">
        <v>3</v>
      </c>
      <c r="I92">
        <v>0</v>
      </c>
      <c r="J92">
        <v>0</v>
      </c>
    </row>
    <row r="93" spans="2:10" x14ac:dyDescent="0.35">
      <c r="B93" t="s">
        <v>196</v>
      </c>
      <c r="C93">
        <v>1</v>
      </c>
      <c r="D93">
        <v>0</v>
      </c>
      <c r="E93">
        <v>2</v>
      </c>
      <c r="F93">
        <v>2</v>
      </c>
      <c r="G93">
        <v>0</v>
      </c>
      <c r="H93">
        <v>0</v>
      </c>
      <c r="I93">
        <v>0</v>
      </c>
      <c r="J93">
        <v>2</v>
      </c>
    </row>
    <row r="94" spans="2:10" x14ac:dyDescent="0.35">
      <c r="B94" t="s">
        <v>198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2:10" x14ac:dyDescent="0.35">
      <c r="B95" t="s">
        <v>113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</row>
    <row r="96" spans="2:10" x14ac:dyDescent="0.35">
      <c r="B96" t="s">
        <v>114</v>
      </c>
      <c r="C96">
        <v>1</v>
      </c>
      <c r="D96">
        <v>4</v>
      </c>
      <c r="E96">
        <v>1</v>
      </c>
      <c r="F96">
        <v>4</v>
      </c>
      <c r="G96">
        <v>1</v>
      </c>
      <c r="H96">
        <v>3</v>
      </c>
      <c r="I96">
        <v>1</v>
      </c>
      <c r="J96">
        <v>4</v>
      </c>
    </row>
    <row r="97" spans="2:10" x14ac:dyDescent="0.35">
      <c r="B97" t="s">
        <v>115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2:10" x14ac:dyDescent="0.35">
      <c r="B98" t="s">
        <v>116</v>
      </c>
      <c r="C98">
        <v>0</v>
      </c>
      <c r="D98">
        <v>0</v>
      </c>
      <c r="E98">
        <v>1</v>
      </c>
      <c r="F98">
        <v>0</v>
      </c>
      <c r="G98">
        <v>2</v>
      </c>
      <c r="H98">
        <v>1</v>
      </c>
      <c r="I98">
        <v>3</v>
      </c>
      <c r="J98">
        <v>2</v>
      </c>
    </row>
    <row r="99" spans="2:10" x14ac:dyDescent="0.35">
      <c r="B99" t="s">
        <v>117</v>
      </c>
      <c r="C99">
        <v>2</v>
      </c>
      <c r="D99">
        <v>1</v>
      </c>
      <c r="E99">
        <v>2</v>
      </c>
      <c r="F99">
        <v>2</v>
      </c>
      <c r="G99">
        <v>3</v>
      </c>
      <c r="H99">
        <v>3</v>
      </c>
      <c r="I99">
        <v>5</v>
      </c>
      <c r="J99">
        <v>4</v>
      </c>
    </row>
    <row r="100" spans="2:10" x14ac:dyDescent="0.35">
      <c r="B100" t="s">
        <v>118</v>
      </c>
      <c r="C100">
        <v>2</v>
      </c>
      <c r="D100">
        <v>3</v>
      </c>
      <c r="E100">
        <v>1</v>
      </c>
      <c r="F100">
        <v>2</v>
      </c>
      <c r="G100">
        <v>3</v>
      </c>
      <c r="H100">
        <v>3</v>
      </c>
      <c r="I100">
        <v>3</v>
      </c>
      <c r="J100">
        <v>4</v>
      </c>
    </row>
    <row r="101" spans="2:10" x14ac:dyDescent="0.35">
      <c r="B101" t="s">
        <v>199</v>
      </c>
      <c r="C101">
        <v>2</v>
      </c>
      <c r="D101">
        <v>2</v>
      </c>
      <c r="E101">
        <v>1</v>
      </c>
      <c r="F101">
        <v>0</v>
      </c>
      <c r="G101">
        <v>2</v>
      </c>
      <c r="H101">
        <v>1</v>
      </c>
      <c r="I101">
        <v>5</v>
      </c>
      <c r="J101">
        <v>2</v>
      </c>
    </row>
    <row r="102" spans="2:10" x14ac:dyDescent="0.35">
      <c r="B102" t="s">
        <v>200</v>
      </c>
      <c r="C102">
        <v>1</v>
      </c>
      <c r="D102">
        <v>1</v>
      </c>
      <c r="E102">
        <v>3</v>
      </c>
      <c r="F102">
        <v>1</v>
      </c>
      <c r="G102">
        <v>0</v>
      </c>
      <c r="H102">
        <v>0</v>
      </c>
      <c r="I102">
        <v>1</v>
      </c>
      <c r="J102">
        <v>3</v>
      </c>
    </row>
    <row r="103" spans="2:10" x14ac:dyDescent="0.35">
      <c r="B103" t="s">
        <v>201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2</v>
      </c>
      <c r="J103">
        <v>1</v>
      </c>
    </row>
    <row r="104" spans="2:10" x14ac:dyDescent="0.35">
      <c r="B104" t="s">
        <v>267</v>
      </c>
      <c r="C104">
        <v>0</v>
      </c>
      <c r="D104">
        <v>0</v>
      </c>
      <c r="E104">
        <v>0</v>
      </c>
      <c r="F104">
        <v>1</v>
      </c>
      <c r="G104">
        <v>4</v>
      </c>
      <c r="H104">
        <v>3</v>
      </c>
      <c r="I104">
        <v>0</v>
      </c>
      <c r="J104">
        <v>0</v>
      </c>
    </row>
    <row r="105" spans="2:10" x14ac:dyDescent="0.35">
      <c r="B105" t="s">
        <v>202</v>
      </c>
      <c r="C105">
        <v>1</v>
      </c>
      <c r="D105">
        <v>0</v>
      </c>
      <c r="E105">
        <v>1</v>
      </c>
      <c r="F105">
        <v>2</v>
      </c>
      <c r="G105">
        <v>0</v>
      </c>
      <c r="H105">
        <v>0</v>
      </c>
      <c r="I105">
        <v>1</v>
      </c>
      <c r="J105">
        <v>2</v>
      </c>
    </row>
    <row r="106" spans="2:10" x14ac:dyDescent="0.35">
      <c r="B106" t="s">
        <v>204</v>
      </c>
      <c r="C106">
        <v>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CE3CE-2464-4ECF-9E10-1913AC94FBDC}">
  <dimension ref="A1:AH33"/>
  <sheetViews>
    <sheetView tabSelected="1" zoomScale="85" zoomScaleNormal="85" workbookViewId="0">
      <selection activeCell="K6" sqref="K6:N6"/>
    </sheetView>
  </sheetViews>
  <sheetFormatPr defaultRowHeight="14.5" x14ac:dyDescent="0.35"/>
  <cols>
    <col min="1" max="1" width="34.1796875" bestFit="1" customWidth="1"/>
    <col min="2" max="2" width="8.453125" bestFit="1" customWidth="1"/>
    <col min="4" max="4" width="7.453125" bestFit="1" customWidth="1"/>
    <col min="5" max="5" width="6.08984375" bestFit="1" customWidth="1"/>
    <col min="6" max="6" width="9.6328125" bestFit="1" customWidth="1"/>
    <col min="7" max="7" width="8.1796875" bestFit="1" customWidth="1"/>
    <col min="9" max="10" width="12.81640625" bestFit="1" customWidth="1"/>
    <col min="11" max="17" width="19.08984375" bestFit="1" customWidth="1"/>
    <col min="18" max="18" width="26.08984375" bestFit="1" customWidth="1"/>
    <col min="19" max="24" width="21.08984375" bestFit="1" customWidth="1"/>
    <col min="25" max="26" width="12.90625" bestFit="1" customWidth="1"/>
    <col min="27" max="27" width="12.36328125" bestFit="1" customWidth="1"/>
    <col min="28" max="28" width="16.36328125" bestFit="1" customWidth="1"/>
    <col min="29" max="29" width="13.7265625" bestFit="1" customWidth="1"/>
    <col min="30" max="30" width="16.08984375" bestFit="1" customWidth="1"/>
    <col min="31" max="31" width="18.36328125" bestFit="1" customWidth="1"/>
    <col min="32" max="32" width="16.90625" bestFit="1" customWidth="1"/>
    <col min="33" max="34" width="16.453125" bestFit="1" customWidth="1"/>
  </cols>
  <sheetData>
    <row r="1" spans="1:34" x14ac:dyDescent="0.35">
      <c r="A1" s="6" t="s">
        <v>15</v>
      </c>
      <c r="B1" s="6"/>
      <c r="C1" s="6"/>
      <c r="D1" s="3"/>
      <c r="E1" s="3"/>
      <c r="F1" s="3"/>
      <c r="G1" s="3"/>
      <c r="H1" s="6"/>
      <c r="I1" s="6"/>
      <c r="J1" s="3"/>
      <c r="K1" s="6"/>
      <c r="L1" s="6"/>
      <c r="M1" s="6"/>
      <c r="N1" s="6"/>
      <c r="O1" s="6"/>
      <c r="P1" s="6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x14ac:dyDescent="0.35">
      <c r="A2" s="3" t="s">
        <v>1</v>
      </c>
      <c r="B2" s="47" t="s">
        <v>8</v>
      </c>
      <c r="C2" s="47" t="s">
        <v>9</v>
      </c>
      <c r="D2" s="47" t="s">
        <v>11</v>
      </c>
      <c r="E2" s="47" t="s">
        <v>10</v>
      </c>
      <c r="F2" s="47" t="s">
        <v>4</v>
      </c>
      <c r="G2" s="47" t="s">
        <v>5</v>
      </c>
      <c r="I2" s="60" t="s">
        <v>6</v>
      </c>
      <c r="J2" s="60" t="s">
        <v>7</v>
      </c>
      <c r="K2" s="47" t="s">
        <v>73</v>
      </c>
      <c r="L2" s="47" t="s">
        <v>74</v>
      </c>
      <c r="M2" s="47" t="s">
        <v>75</v>
      </c>
      <c r="N2" s="47" t="s">
        <v>76</v>
      </c>
      <c r="O2" s="47" t="s">
        <v>77</v>
      </c>
      <c r="P2" s="47" t="s">
        <v>78</v>
      </c>
      <c r="Q2" s="47" t="s">
        <v>79</v>
      </c>
      <c r="R2" s="47" t="s">
        <v>80</v>
      </c>
      <c r="S2" s="47" t="s">
        <v>81</v>
      </c>
      <c r="T2" s="47" t="s">
        <v>82</v>
      </c>
      <c r="U2" s="47" t="s">
        <v>83</v>
      </c>
      <c r="V2" s="47" t="s">
        <v>84</v>
      </c>
      <c r="W2" s="47" t="s">
        <v>85</v>
      </c>
      <c r="X2" s="47" t="s">
        <v>86</v>
      </c>
      <c r="Y2" s="47" t="s">
        <v>87</v>
      </c>
      <c r="Z2" s="47" t="s">
        <v>88</v>
      </c>
      <c r="AA2" s="60" t="s">
        <v>89</v>
      </c>
      <c r="AB2" s="60" t="s">
        <v>90</v>
      </c>
      <c r="AC2" s="60" t="s">
        <v>91</v>
      </c>
      <c r="AD2" s="60" t="s">
        <v>92</v>
      </c>
      <c r="AE2" s="60" t="s">
        <v>93</v>
      </c>
      <c r="AF2" s="60" t="s">
        <v>94</v>
      </c>
      <c r="AG2" s="60" t="s">
        <v>107</v>
      </c>
      <c r="AH2" s="60" t="s">
        <v>95</v>
      </c>
    </row>
    <row r="3" spans="1:34" x14ac:dyDescent="0.35">
      <c r="A3" s="56" t="s">
        <v>164</v>
      </c>
      <c r="B3" s="49">
        <v>1</v>
      </c>
      <c r="C3" s="49" t="s">
        <v>165</v>
      </c>
      <c r="D3" s="50">
        <v>2</v>
      </c>
      <c r="E3" s="50" t="s">
        <v>166</v>
      </c>
      <c r="F3" s="51">
        <v>3</v>
      </c>
      <c r="G3" s="51" t="s">
        <v>167</v>
      </c>
      <c r="H3" s="56" t="s">
        <v>164</v>
      </c>
      <c r="I3" s="61">
        <v>4</v>
      </c>
      <c r="J3" s="61" t="s">
        <v>168</v>
      </c>
      <c r="K3" s="52" t="s">
        <v>169</v>
      </c>
      <c r="L3" s="52" t="s">
        <v>170</v>
      </c>
      <c r="M3" s="53" t="s">
        <v>171</v>
      </c>
      <c r="N3" s="53" t="s">
        <v>172</v>
      </c>
      <c r="O3" s="52" t="s">
        <v>173</v>
      </c>
      <c r="P3" s="52" t="s">
        <v>174</v>
      </c>
      <c r="Q3" s="52" t="s">
        <v>175</v>
      </c>
      <c r="R3" s="52" t="s">
        <v>176</v>
      </c>
      <c r="S3" s="53" t="s">
        <v>177</v>
      </c>
      <c r="T3" s="53" t="s">
        <v>178</v>
      </c>
      <c r="U3" s="52" t="s">
        <v>179</v>
      </c>
      <c r="V3" s="52" t="s">
        <v>180</v>
      </c>
      <c r="W3" s="52" t="s">
        <v>181</v>
      </c>
      <c r="X3" s="52" t="s">
        <v>182</v>
      </c>
      <c r="Y3" s="53" t="s">
        <v>183</v>
      </c>
      <c r="Z3" s="53" t="s">
        <v>184</v>
      </c>
      <c r="AA3" s="61" t="s">
        <v>185</v>
      </c>
      <c r="AB3" s="61" t="s">
        <v>186</v>
      </c>
      <c r="AC3" s="62" t="s">
        <v>187</v>
      </c>
      <c r="AD3" s="62" t="s">
        <v>188</v>
      </c>
      <c r="AE3" s="61" t="s">
        <v>189</v>
      </c>
      <c r="AF3" s="61" t="s">
        <v>190</v>
      </c>
      <c r="AG3" s="61" t="s">
        <v>191</v>
      </c>
      <c r="AH3" s="61" t="s">
        <v>192</v>
      </c>
    </row>
    <row r="4" spans="1:34" x14ac:dyDescent="0.35">
      <c r="A4" s="63" t="s">
        <v>235</v>
      </c>
      <c r="B4" s="64" t="s">
        <v>236</v>
      </c>
      <c r="C4" s="64" t="s">
        <v>236</v>
      </c>
      <c r="D4" s="65" t="s">
        <v>237</v>
      </c>
      <c r="E4" s="65"/>
      <c r="F4" s="66" t="s">
        <v>238</v>
      </c>
      <c r="G4" s="66"/>
      <c r="H4" s="63" t="s">
        <v>235</v>
      </c>
      <c r="I4" s="67" t="s">
        <v>239</v>
      </c>
      <c r="J4" s="67" t="s">
        <v>239</v>
      </c>
      <c r="K4" s="68" t="s">
        <v>240</v>
      </c>
      <c r="L4" s="68" t="s">
        <v>240</v>
      </c>
      <c r="M4" s="56" t="s">
        <v>241</v>
      </c>
      <c r="N4" s="56" t="s">
        <v>241</v>
      </c>
      <c r="O4" s="68" t="s">
        <v>241</v>
      </c>
      <c r="P4" s="68" t="s">
        <v>241</v>
      </c>
      <c r="Q4" s="68" t="s">
        <v>241</v>
      </c>
      <c r="R4" s="68" t="s">
        <v>241</v>
      </c>
      <c r="S4" s="56" t="s">
        <v>241</v>
      </c>
      <c r="T4" s="56" t="s">
        <v>241</v>
      </c>
      <c r="U4" s="68" t="s">
        <v>241</v>
      </c>
      <c r="V4" s="68" t="s">
        <v>241</v>
      </c>
      <c r="W4" s="68" t="s">
        <v>241</v>
      </c>
      <c r="X4" s="68" t="s">
        <v>241</v>
      </c>
      <c r="Y4" s="56" t="s">
        <v>240</v>
      </c>
      <c r="Z4" s="56" t="s">
        <v>240</v>
      </c>
      <c r="AA4" s="68" t="s">
        <v>241</v>
      </c>
      <c r="AB4" s="68" t="s">
        <v>241</v>
      </c>
      <c r="AC4" s="56" t="s">
        <v>241</v>
      </c>
      <c r="AD4" s="56" t="s">
        <v>241</v>
      </c>
      <c r="AE4" s="68" t="s">
        <v>241</v>
      </c>
      <c r="AF4" s="68" t="s">
        <v>241</v>
      </c>
      <c r="AG4" s="68" t="s">
        <v>241</v>
      </c>
      <c r="AH4" s="68" t="s">
        <v>241</v>
      </c>
    </row>
    <row r="5" spans="1:34" x14ac:dyDescent="0.35">
      <c r="A5" s="56" t="s">
        <v>242</v>
      </c>
      <c r="B5" s="64"/>
      <c r="C5" s="64"/>
      <c r="D5" s="65"/>
      <c r="E5" s="65"/>
      <c r="F5" s="66"/>
      <c r="G5" s="66"/>
      <c r="H5" s="56" t="s">
        <v>242</v>
      </c>
      <c r="I5" s="67"/>
      <c r="J5" s="67"/>
      <c r="K5" s="68"/>
      <c r="L5" s="68"/>
      <c r="M5" s="56"/>
      <c r="N5" s="56"/>
      <c r="O5" s="68"/>
      <c r="P5" s="68"/>
      <c r="Q5" s="68"/>
      <c r="R5" s="68"/>
      <c r="S5" s="56"/>
      <c r="T5" s="56"/>
      <c r="U5" s="68"/>
      <c r="V5" s="68"/>
      <c r="W5" s="68"/>
      <c r="X5" s="68"/>
      <c r="Y5" s="56"/>
      <c r="Z5" s="56"/>
      <c r="AA5" s="68"/>
      <c r="AB5" s="68"/>
      <c r="AC5" s="56"/>
      <c r="AD5" s="56"/>
      <c r="AE5" s="68"/>
      <c r="AF5" s="68"/>
      <c r="AG5" s="68"/>
      <c r="AH5" s="68"/>
    </row>
    <row r="6" spans="1:34" x14ac:dyDescent="0.35">
      <c r="A6" s="56" t="s">
        <v>243</v>
      </c>
      <c r="B6" s="64"/>
      <c r="C6" s="64"/>
      <c r="D6" s="65"/>
      <c r="E6" s="65"/>
      <c r="F6" s="66"/>
      <c r="G6" s="66"/>
      <c r="H6" s="56" t="s">
        <v>243</v>
      </c>
      <c r="I6" s="67"/>
      <c r="J6" s="67"/>
      <c r="K6" s="69" t="s">
        <v>244</v>
      </c>
      <c r="L6" s="69" t="s">
        <v>244</v>
      </c>
      <c r="M6" s="63" t="s">
        <v>244</v>
      </c>
      <c r="N6" s="63" t="s">
        <v>244</v>
      </c>
      <c r="O6" s="69" t="s">
        <v>244</v>
      </c>
      <c r="P6" s="69" t="s">
        <v>244</v>
      </c>
      <c r="Q6" s="69" t="s">
        <v>244</v>
      </c>
      <c r="R6" s="69" t="s">
        <v>244</v>
      </c>
      <c r="S6" s="63" t="s">
        <v>245</v>
      </c>
      <c r="T6" s="63" t="s">
        <v>245</v>
      </c>
      <c r="U6" s="69" t="s">
        <v>245</v>
      </c>
      <c r="V6" s="69" t="s">
        <v>245</v>
      </c>
      <c r="W6" s="69" t="s">
        <v>245</v>
      </c>
      <c r="X6" s="69" t="s">
        <v>245</v>
      </c>
      <c r="Y6" s="63" t="s">
        <v>246</v>
      </c>
      <c r="Z6" s="63" t="s">
        <v>246</v>
      </c>
      <c r="AA6" s="69" t="s">
        <v>246</v>
      </c>
      <c r="AB6" s="69" t="s">
        <v>246</v>
      </c>
      <c r="AC6" s="63" t="s">
        <v>246</v>
      </c>
      <c r="AD6" s="63" t="s">
        <v>246</v>
      </c>
      <c r="AE6" s="69" t="s">
        <v>246</v>
      </c>
      <c r="AF6" s="69" t="s">
        <v>246</v>
      </c>
      <c r="AG6" s="69" t="s">
        <v>246</v>
      </c>
      <c r="AH6" s="69" t="s">
        <v>246</v>
      </c>
    </row>
    <row r="7" spans="1:34" x14ac:dyDescent="0.35">
      <c r="A7" s="56" t="s">
        <v>247</v>
      </c>
      <c r="B7" s="64"/>
      <c r="C7" s="64"/>
      <c r="D7" s="65"/>
      <c r="E7" s="65"/>
      <c r="F7" s="70" t="s">
        <v>248</v>
      </c>
      <c r="G7" s="70"/>
      <c r="H7" s="56" t="s">
        <v>247</v>
      </c>
      <c r="I7" s="71" t="s">
        <v>249</v>
      </c>
      <c r="J7" s="71" t="s">
        <v>249</v>
      </c>
      <c r="K7" s="69" t="s">
        <v>249</v>
      </c>
      <c r="L7" s="69" t="s">
        <v>249</v>
      </c>
      <c r="M7" s="63" t="s">
        <v>249</v>
      </c>
      <c r="N7" s="63" t="s">
        <v>249</v>
      </c>
      <c r="O7" s="69" t="s">
        <v>249</v>
      </c>
      <c r="P7" s="69" t="s">
        <v>249</v>
      </c>
      <c r="Q7" s="69" t="s">
        <v>249</v>
      </c>
      <c r="R7" s="69" t="s">
        <v>249</v>
      </c>
      <c r="S7" s="63" t="s">
        <v>249</v>
      </c>
      <c r="T7" s="63" t="s">
        <v>249</v>
      </c>
      <c r="U7" s="69" t="s">
        <v>249</v>
      </c>
      <c r="V7" s="69" t="s">
        <v>249</v>
      </c>
      <c r="W7" s="69" t="s">
        <v>249</v>
      </c>
      <c r="X7" s="69" t="s">
        <v>249</v>
      </c>
      <c r="Y7" s="63" t="s">
        <v>249</v>
      </c>
      <c r="Z7" s="63" t="s">
        <v>249</v>
      </c>
      <c r="AA7" s="69" t="s">
        <v>249</v>
      </c>
      <c r="AB7" s="69" t="s">
        <v>249</v>
      </c>
      <c r="AC7" s="63" t="s">
        <v>249</v>
      </c>
      <c r="AD7" s="63" t="s">
        <v>249</v>
      </c>
      <c r="AE7" s="69" t="s">
        <v>249</v>
      </c>
      <c r="AF7" s="69" t="s">
        <v>249</v>
      </c>
      <c r="AG7" s="69" t="s">
        <v>249</v>
      </c>
      <c r="AH7" s="69" t="s">
        <v>249</v>
      </c>
    </row>
    <row r="8" spans="1:34" x14ac:dyDescent="0.35">
      <c r="A8" s="72" t="s">
        <v>250</v>
      </c>
      <c r="B8" s="64"/>
      <c r="C8" s="64"/>
      <c r="D8" s="65"/>
      <c r="E8" s="65"/>
      <c r="F8" s="66"/>
      <c r="G8" s="66"/>
      <c r="H8" s="72" t="s">
        <v>250</v>
      </c>
      <c r="I8" s="67"/>
      <c r="J8" s="67"/>
      <c r="K8" s="69" t="s">
        <v>251</v>
      </c>
      <c r="L8" s="69" t="s">
        <v>251</v>
      </c>
      <c r="M8" s="73" t="s">
        <v>252</v>
      </c>
      <c r="N8" s="73" t="s">
        <v>252</v>
      </c>
      <c r="O8" s="69" t="s">
        <v>253</v>
      </c>
      <c r="P8" s="69" t="s">
        <v>253</v>
      </c>
      <c r="Q8" s="69" t="s">
        <v>253</v>
      </c>
      <c r="R8" s="69" t="s">
        <v>253</v>
      </c>
      <c r="S8" s="63" t="s">
        <v>254</v>
      </c>
      <c r="T8" s="63" t="s">
        <v>254</v>
      </c>
      <c r="U8" s="69" t="s">
        <v>254</v>
      </c>
      <c r="V8" s="69" t="s">
        <v>254</v>
      </c>
      <c r="W8" s="69" t="s">
        <v>254</v>
      </c>
      <c r="X8" s="69" t="s">
        <v>254</v>
      </c>
      <c r="Y8" s="63" t="s">
        <v>255</v>
      </c>
      <c r="Z8" s="63" t="s">
        <v>255</v>
      </c>
      <c r="AA8" s="69" t="s">
        <v>256</v>
      </c>
      <c r="AB8" s="69" t="s">
        <v>256</v>
      </c>
      <c r="AC8" s="63" t="s">
        <v>257</v>
      </c>
      <c r="AD8" s="63" t="s">
        <v>257</v>
      </c>
      <c r="AE8" s="69" t="s">
        <v>257</v>
      </c>
      <c r="AF8" s="69" t="s">
        <v>257</v>
      </c>
      <c r="AG8" s="69" t="s">
        <v>257</v>
      </c>
      <c r="AH8" s="69" t="s">
        <v>257</v>
      </c>
    </row>
    <row r="9" spans="1:34" x14ac:dyDescent="0.35">
      <c r="A9" s="56" t="s">
        <v>258</v>
      </c>
      <c r="B9" s="64"/>
      <c r="C9" s="64"/>
      <c r="D9" s="65"/>
      <c r="E9" s="65"/>
      <c r="F9" s="70" t="s">
        <v>259</v>
      </c>
      <c r="G9" s="70"/>
      <c r="H9" s="56" t="s">
        <v>258</v>
      </c>
      <c r="I9" s="71" t="s">
        <v>260</v>
      </c>
      <c r="J9" s="71" t="s">
        <v>260</v>
      </c>
      <c r="K9" s="69" t="s">
        <v>261</v>
      </c>
      <c r="L9" s="69" t="s">
        <v>261</v>
      </c>
      <c r="M9" s="63" t="s">
        <v>262</v>
      </c>
      <c r="N9" s="63" t="s">
        <v>262</v>
      </c>
      <c r="O9" s="69" t="s">
        <v>260</v>
      </c>
      <c r="P9" s="69" t="s">
        <v>260</v>
      </c>
      <c r="Q9" s="69" t="s">
        <v>260</v>
      </c>
      <c r="R9" s="69" t="s">
        <v>260</v>
      </c>
      <c r="S9" s="63" t="s">
        <v>262</v>
      </c>
      <c r="T9" s="63" t="s">
        <v>262</v>
      </c>
      <c r="U9" s="69" t="s">
        <v>260</v>
      </c>
      <c r="V9" s="69" t="s">
        <v>260</v>
      </c>
      <c r="W9" s="69" t="s">
        <v>260</v>
      </c>
      <c r="X9" s="69" t="s">
        <v>260</v>
      </c>
      <c r="Y9" s="63" t="s">
        <v>261</v>
      </c>
      <c r="Z9" s="63" t="s">
        <v>261</v>
      </c>
      <c r="AA9" s="69" t="s">
        <v>262</v>
      </c>
      <c r="AB9" s="69" t="s">
        <v>262</v>
      </c>
      <c r="AC9" s="63" t="s">
        <v>262</v>
      </c>
      <c r="AD9" s="63" t="s">
        <v>262</v>
      </c>
      <c r="AE9" s="69" t="s">
        <v>260</v>
      </c>
      <c r="AF9" s="69" t="s">
        <v>260</v>
      </c>
      <c r="AG9" s="69" t="s">
        <v>260</v>
      </c>
      <c r="AH9" s="69" t="s">
        <v>260</v>
      </c>
    </row>
    <row r="10" spans="1:34" x14ac:dyDescent="0.35">
      <c r="A10" s="72" t="s">
        <v>263</v>
      </c>
      <c r="B10" s="64"/>
      <c r="C10" s="64"/>
      <c r="D10" s="65"/>
      <c r="E10" s="65"/>
      <c r="F10" s="66"/>
      <c r="G10" s="66"/>
      <c r="H10" s="72" t="s">
        <v>263</v>
      </c>
      <c r="I10" s="67"/>
      <c r="J10" s="67"/>
      <c r="K10" s="68"/>
      <c r="L10" s="68"/>
      <c r="M10" s="56"/>
      <c r="N10" s="56"/>
      <c r="O10" s="68" t="s">
        <v>264</v>
      </c>
      <c r="P10" s="68" t="s">
        <v>264</v>
      </c>
      <c r="Q10" s="74" t="s">
        <v>265</v>
      </c>
      <c r="R10" s="74" t="s">
        <v>265</v>
      </c>
      <c r="S10" s="56"/>
      <c r="T10" s="56"/>
      <c r="U10" s="68" t="s">
        <v>264</v>
      </c>
      <c r="V10" s="68" t="s">
        <v>264</v>
      </c>
      <c r="W10" s="74" t="s">
        <v>265</v>
      </c>
      <c r="X10" s="74" t="s">
        <v>265</v>
      </c>
      <c r="Y10" s="56"/>
      <c r="Z10" s="56"/>
      <c r="AA10" s="68"/>
      <c r="AB10" s="68"/>
      <c r="AC10" s="56"/>
      <c r="AD10" s="56"/>
      <c r="AE10" s="68" t="s">
        <v>264</v>
      </c>
      <c r="AF10" s="68" t="s">
        <v>264</v>
      </c>
      <c r="AG10" s="74" t="s">
        <v>265</v>
      </c>
      <c r="AH10" s="74" t="s">
        <v>265</v>
      </c>
    </row>
    <row r="11" spans="1:34" x14ac:dyDescent="0.35">
      <c r="A11" s="55" t="s">
        <v>193</v>
      </c>
      <c r="B11" s="56">
        <v>4</v>
      </c>
      <c r="C11" s="56">
        <v>3</v>
      </c>
      <c r="D11" s="56">
        <v>5</v>
      </c>
      <c r="E11" s="56">
        <v>3</v>
      </c>
      <c r="F11" s="56">
        <v>1</v>
      </c>
      <c r="G11" s="56">
        <v>1</v>
      </c>
      <c r="I11" s="75">
        <v>4</v>
      </c>
      <c r="J11" s="75">
        <v>3</v>
      </c>
      <c r="K11" s="8">
        <v>2</v>
      </c>
      <c r="L11" s="8">
        <v>2</v>
      </c>
      <c r="M11" s="8">
        <v>4</v>
      </c>
      <c r="N11" s="8">
        <v>2</v>
      </c>
      <c r="O11" s="8">
        <v>3</v>
      </c>
      <c r="P11" s="8">
        <v>2</v>
      </c>
      <c r="Q11" s="56">
        <v>1</v>
      </c>
      <c r="R11" s="56">
        <v>3</v>
      </c>
      <c r="S11" s="56">
        <v>1</v>
      </c>
      <c r="T11" s="56">
        <v>1</v>
      </c>
      <c r="U11" s="56">
        <v>1</v>
      </c>
      <c r="V11" s="56">
        <v>1</v>
      </c>
      <c r="W11" s="56">
        <v>0</v>
      </c>
      <c r="X11" s="56">
        <v>0</v>
      </c>
      <c r="Y11" s="56">
        <v>0</v>
      </c>
      <c r="Z11" s="56">
        <v>1</v>
      </c>
      <c r="AA11" s="56">
        <v>1</v>
      </c>
      <c r="AB11" s="56">
        <v>1</v>
      </c>
      <c r="AC11" s="56">
        <v>0</v>
      </c>
      <c r="AD11" s="56">
        <v>0</v>
      </c>
      <c r="AE11" s="56">
        <v>2</v>
      </c>
      <c r="AF11" s="56">
        <v>1</v>
      </c>
      <c r="AG11" s="56">
        <v>2</v>
      </c>
      <c r="AH11" s="56">
        <v>2</v>
      </c>
    </row>
    <row r="12" spans="1:34" x14ac:dyDescent="0.35">
      <c r="A12" s="55" t="s">
        <v>194</v>
      </c>
      <c r="B12" s="56">
        <v>2</v>
      </c>
      <c r="C12" s="56">
        <v>1</v>
      </c>
      <c r="D12" s="56">
        <v>1</v>
      </c>
      <c r="E12" s="56"/>
      <c r="F12" s="56">
        <v>4</v>
      </c>
      <c r="G12" s="56">
        <v>5</v>
      </c>
      <c r="I12" s="75">
        <v>2</v>
      </c>
      <c r="J12" s="75">
        <v>3</v>
      </c>
      <c r="K12" s="8">
        <v>5</v>
      </c>
      <c r="L12" s="8">
        <v>4</v>
      </c>
      <c r="M12" s="8">
        <v>1</v>
      </c>
      <c r="N12" s="8">
        <v>1</v>
      </c>
      <c r="O12" s="8"/>
      <c r="P12" s="8"/>
      <c r="Q12" s="56">
        <v>4</v>
      </c>
      <c r="R12" s="56">
        <v>2</v>
      </c>
      <c r="S12" s="56">
        <v>2</v>
      </c>
      <c r="T12" s="56">
        <v>2</v>
      </c>
      <c r="U12" s="56">
        <v>3</v>
      </c>
      <c r="V12" s="56">
        <v>2</v>
      </c>
      <c r="W12" s="56">
        <v>1</v>
      </c>
      <c r="X12" s="56">
        <v>1</v>
      </c>
      <c r="Y12" s="56">
        <v>1</v>
      </c>
      <c r="Z12" s="56">
        <v>1</v>
      </c>
      <c r="AA12" s="56">
        <v>3</v>
      </c>
      <c r="AB12" s="56">
        <v>2</v>
      </c>
      <c r="AC12" s="56">
        <v>4</v>
      </c>
      <c r="AD12" s="56">
        <v>3</v>
      </c>
      <c r="AE12" s="56">
        <v>2</v>
      </c>
      <c r="AF12" s="56">
        <v>1</v>
      </c>
      <c r="AG12" s="56">
        <v>2</v>
      </c>
      <c r="AH12" s="56">
        <v>2</v>
      </c>
    </row>
    <row r="13" spans="1:34" x14ac:dyDescent="0.35">
      <c r="A13" s="55" t="s">
        <v>195</v>
      </c>
      <c r="B13" s="56"/>
      <c r="C13" s="56"/>
      <c r="D13" s="56">
        <v>2</v>
      </c>
      <c r="E13" s="56">
        <v>1</v>
      </c>
      <c r="F13" s="56"/>
      <c r="G13" s="56"/>
      <c r="I13" s="75">
        <v>1</v>
      </c>
      <c r="J13" s="75"/>
      <c r="K13" s="8"/>
      <c r="L13" s="8"/>
      <c r="M13" s="8"/>
      <c r="N13" s="8"/>
      <c r="O13" s="8"/>
      <c r="P13" s="8"/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0</v>
      </c>
      <c r="AA13" s="56"/>
      <c r="AB13" s="56"/>
      <c r="AC13" s="56"/>
      <c r="AD13" s="56"/>
      <c r="AE13" s="56"/>
      <c r="AF13" s="56"/>
      <c r="AG13" s="56"/>
      <c r="AH13" s="56"/>
    </row>
    <row r="14" spans="1:34" x14ac:dyDescent="0.35">
      <c r="A14" s="55" t="s">
        <v>266</v>
      </c>
      <c r="B14" s="56"/>
      <c r="C14" s="56"/>
      <c r="D14" s="56"/>
      <c r="E14" s="56"/>
      <c r="F14" s="56"/>
      <c r="G14" s="56"/>
      <c r="I14" s="75"/>
      <c r="J14" s="75"/>
      <c r="K14" s="8"/>
      <c r="L14" s="8"/>
      <c r="M14" s="8"/>
      <c r="N14" s="8"/>
      <c r="O14" s="8">
        <v>4</v>
      </c>
      <c r="P14" s="8">
        <v>3</v>
      </c>
      <c r="Q14" s="56">
        <v>0</v>
      </c>
      <c r="R14" s="56">
        <v>1</v>
      </c>
      <c r="S14" s="56">
        <v>1</v>
      </c>
      <c r="T14" s="56">
        <v>1</v>
      </c>
      <c r="U14" s="56">
        <v>0</v>
      </c>
      <c r="V14" s="56">
        <v>0</v>
      </c>
      <c r="W14" s="56">
        <v>0</v>
      </c>
      <c r="X14" s="56">
        <v>0</v>
      </c>
      <c r="Y14" s="56">
        <v>0</v>
      </c>
      <c r="Z14" s="56">
        <v>0</v>
      </c>
      <c r="AA14" s="56"/>
      <c r="AB14" s="56">
        <v>1</v>
      </c>
      <c r="AC14" s="56"/>
      <c r="AD14" s="56"/>
      <c r="AE14" s="56"/>
      <c r="AF14" s="56"/>
      <c r="AG14" s="56"/>
      <c r="AH14" s="56"/>
    </row>
    <row r="15" spans="1:34" x14ac:dyDescent="0.35">
      <c r="A15" s="55" t="s">
        <v>196</v>
      </c>
      <c r="B15" s="56">
        <v>2</v>
      </c>
      <c r="C15" s="56">
        <v>3</v>
      </c>
      <c r="D15" s="56">
        <v>1</v>
      </c>
      <c r="E15" s="56">
        <v>3</v>
      </c>
      <c r="F15" s="56"/>
      <c r="G15" s="56"/>
      <c r="I15" s="75"/>
      <c r="J15" s="75">
        <v>2</v>
      </c>
      <c r="K15" s="8"/>
      <c r="L15" s="8">
        <v>1</v>
      </c>
      <c r="M15" s="8">
        <v>1</v>
      </c>
      <c r="N15" s="8">
        <v>0</v>
      </c>
      <c r="O15" s="8"/>
      <c r="P15" s="8"/>
      <c r="Q15" s="56">
        <v>1</v>
      </c>
      <c r="R15" s="56">
        <v>0</v>
      </c>
      <c r="S15" s="56">
        <v>0</v>
      </c>
      <c r="T15" s="56">
        <v>0</v>
      </c>
      <c r="U15" s="56">
        <v>0</v>
      </c>
      <c r="V15" s="56">
        <v>0</v>
      </c>
      <c r="W15" s="56">
        <v>0</v>
      </c>
      <c r="X15" s="56">
        <v>0</v>
      </c>
      <c r="Y15" s="56">
        <v>3</v>
      </c>
      <c r="Z15" s="56">
        <v>2</v>
      </c>
      <c r="AA15" s="56">
        <v>2</v>
      </c>
      <c r="AB15" s="56">
        <v>2</v>
      </c>
      <c r="AC15" s="56"/>
      <c r="AD15" s="56"/>
      <c r="AE15" s="56">
        <v>2</v>
      </c>
      <c r="AF15" s="56">
        <v>1</v>
      </c>
      <c r="AG15" s="56"/>
      <c r="AH15" s="56"/>
    </row>
    <row r="16" spans="1:34" x14ac:dyDescent="0.35">
      <c r="A16" s="55" t="s">
        <v>198</v>
      </c>
      <c r="B16" s="56"/>
      <c r="C16" s="56"/>
      <c r="D16" s="56"/>
      <c r="E16" s="56"/>
      <c r="F16" s="56"/>
      <c r="G16" s="56"/>
      <c r="I16" s="75"/>
      <c r="J16" s="75"/>
      <c r="K16" s="8"/>
      <c r="L16" s="8"/>
      <c r="M16" s="8">
        <v>1</v>
      </c>
      <c r="N16" s="8">
        <v>0</v>
      </c>
      <c r="O16" s="8"/>
      <c r="P16" s="8"/>
      <c r="Q16" s="56">
        <v>0</v>
      </c>
      <c r="R16" s="56">
        <v>0</v>
      </c>
      <c r="S16" s="56">
        <v>0</v>
      </c>
      <c r="T16" s="56">
        <v>0</v>
      </c>
      <c r="U16" s="56">
        <v>0</v>
      </c>
      <c r="V16" s="56">
        <v>0</v>
      </c>
      <c r="W16" s="56">
        <v>0</v>
      </c>
      <c r="X16" s="56">
        <v>0</v>
      </c>
      <c r="Y16" s="56">
        <v>0</v>
      </c>
      <c r="Z16" s="56">
        <v>0</v>
      </c>
      <c r="AA16" s="56"/>
      <c r="AB16" s="56"/>
      <c r="AC16" s="56"/>
      <c r="AD16" s="56"/>
      <c r="AE16" s="56"/>
      <c r="AF16" s="56"/>
      <c r="AG16" s="56"/>
      <c r="AH16" s="56"/>
    </row>
    <row r="17" spans="1:34" x14ac:dyDescent="0.35">
      <c r="A17" s="55" t="s">
        <v>113</v>
      </c>
      <c r="B17" s="56">
        <v>2</v>
      </c>
      <c r="C17" s="56">
        <v>1</v>
      </c>
      <c r="D17" s="56"/>
      <c r="E17" s="56"/>
      <c r="F17" s="56"/>
      <c r="G17" s="56"/>
      <c r="I17" s="75">
        <v>1</v>
      </c>
      <c r="J17" s="75"/>
      <c r="K17" s="8">
        <v>0</v>
      </c>
      <c r="L17" s="8">
        <v>0</v>
      </c>
      <c r="M17" s="8">
        <v>0</v>
      </c>
      <c r="N17" s="8">
        <v>0</v>
      </c>
      <c r="O17" s="8"/>
      <c r="P17" s="8"/>
      <c r="Q17" s="56">
        <v>0</v>
      </c>
      <c r="R17" s="56">
        <v>0</v>
      </c>
      <c r="S17" s="56">
        <v>0</v>
      </c>
      <c r="T17" s="56">
        <v>0</v>
      </c>
      <c r="U17" s="56">
        <v>0</v>
      </c>
      <c r="V17" s="56">
        <v>1</v>
      </c>
      <c r="W17" s="56">
        <v>0</v>
      </c>
      <c r="X17" s="56">
        <v>0</v>
      </c>
      <c r="Y17" s="56">
        <v>1</v>
      </c>
      <c r="Z17" s="56">
        <v>1</v>
      </c>
      <c r="AA17" s="56">
        <v>0</v>
      </c>
      <c r="AB17" s="56">
        <v>0</v>
      </c>
      <c r="AC17" s="56">
        <v>0</v>
      </c>
      <c r="AD17" s="56">
        <v>0</v>
      </c>
      <c r="AE17" s="56">
        <v>0</v>
      </c>
      <c r="AF17" s="56">
        <v>0</v>
      </c>
      <c r="AG17" s="56">
        <v>0</v>
      </c>
      <c r="AH17" s="56">
        <v>0</v>
      </c>
    </row>
    <row r="18" spans="1:34" x14ac:dyDescent="0.35">
      <c r="A18" s="55" t="s">
        <v>114</v>
      </c>
      <c r="B18" s="56">
        <v>2</v>
      </c>
      <c r="C18" s="56">
        <v>4</v>
      </c>
      <c r="D18" s="56">
        <v>1</v>
      </c>
      <c r="E18" s="56">
        <v>4</v>
      </c>
      <c r="F18" s="56">
        <v>2</v>
      </c>
      <c r="G18" s="56">
        <v>5</v>
      </c>
      <c r="I18" s="75">
        <v>1</v>
      </c>
      <c r="J18" s="75">
        <v>4</v>
      </c>
      <c r="K18" s="8">
        <v>2</v>
      </c>
      <c r="L18" s="8">
        <v>5</v>
      </c>
      <c r="M18" s="8">
        <v>1</v>
      </c>
      <c r="N18" s="8">
        <v>4</v>
      </c>
      <c r="O18" s="8">
        <v>1</v>
      </c>
      <c r="P18" s="8">
        <v>3</v>
      </c>
      <c r="Q18" s="56">
        <v>1</v>
      </c>
      <c r="R18" s="56">
        <v>3</v>
      </c>
      <c r="S18" s="56">
        <v>1</v>
      </c>
      <c r="T18" s="56">
        <v>3</v>
      </c>
      <c r="U18" s="56">
        <v>1</v>
      </c>
      <c r="V18" s="56">
        <v>3</v>
      </c>
      <c r="W18" s="56">
        <v>1</v>
      </c>
      <c r="X18" s="56">
        <v>2</v>
      </c>
      <c r="Y18" s="56">
        <v>0</v>
      </c>
      <c r="Z18" s="56">
        <v>2</v>
      </c>
      <c r="AA18" s="56">
        <v>1</v>
      </c>
      <c r="AB18" s="56">
        <v>4</v>
      </c>
      <c r="AC18" s="56">
        <v>1</v>
      </c>
      <c r="AD18" s="56">
        <v>5</v>
      </c>
      <c r="AE18" s="56">
        <v>1</v>
      </c>
      <c r="AF18" s="56">
        <v>5</v>
      </c>
      <c r="AG18" s="56">
        <v>0</v>
      </c>
      <c r="AH18" s="56">
        <v>4</v>
      </c>
    </row>
    <row r="19" spans="1:34" x14ac:dyDescent="0.35">
      <c r="A19" s="55" t="s">
        <v>115</v>
      </c>
      <c r="B19" s="56">
        <v>1</v>
      </c>
      <c r="C19" s="56"/>
      <c r="D19" s="56"/>
      <c r="E19" s="56"/>
      <c r="F19" s="56">
        <v>2</v>
      </c>
      <c r="G19" s="56"/>
      <c r="I19" s="75"/>
      <c r="J19" s="75"/>
      <c r="K19" s="8">
        <v>1</v>
      </c>
      <c r="L19" s="8">
        <v>0</v>
      </c>
      <c r="M19" s="8">
        <v>1</v>
      </c>
      <c r="N19" s="8">
        <v>0</v>
      </c>
      <c r="O19" s="8">
        <v>0</v>
      </c>
      <c r="P19" s="8">
        <v>0</v>
      </c>
      <c r="Q19" s="56">
        <v>2</v>
      </c>
      <c r="R19" s="56">
        <v>1</v>
      </c>
      <c r="S19" s="56">
        <v>1</v>
      </c>
      <c r="T19" s="56">
        <v>0</v>
      </c>
      <c r="U19" s="56">
        <v>2</v>
      </c>
      <c r="V19" s="56">
        <v>0</v>
      </c>
      <c r="W19" s="56">
        <v>1</v>
      </c>
      <c r="X19" s="56">
        <v>1</v>
      </c>
      <c r="Y19" s="56">
        <v>0</v>
      </c>
      <c r="Z19" s="56">
        <v>0</v>
      </c>
      <c r="AA19" s="56">
        <v>0</v>
      </c>
      <c r="AB19" s="56">
        <v>0</v>
      </c>
      <c r="AC19" s="56"/>
      <c r="AD19" s="56">
        <v>0</v>
      </c>
      <c r="AE19" s="56">
        <v>0</v>
      </c>
      <c r="AF19" s="56">
        <v>0</v>
      </c>
      <c r="AG19" s="56">
        <v>0</v>
      </c>
      <c r="AH19" s="56">
        <v>0</v>
      </c>
    </row>
    <row r="20" spans="1:34" x14ac:dyDescent="0.35">
      <c r="A20" s="55" t="s">
        <v>116</v>
      </c>
      <c r="B20" s="56">
        <v>3</v>
      </c>
      <c r="C20" s="56"/>
      <c r="D20" s="56">
        <v>4</v>
      </c>
      <c r="E20" s="56">
        <v>1</v>
      </c>
      <c r="F20" s="56">
        <v>1</v>
      </c>
      <c r="G20" s="56"/>
      <c r="I20" s="75">
        <v>3</v>
      </c>
      <c r="J20" s="75">
        <v>2</v>
      </c>
      <c r="K20" s="8">
        <v>0</v>
      </c>
      <c r="L20" s="8">
        <v>0</v>
      </c>
      <c r="M20" s="8">
        <v>0</v>
      </c>
      <c r="N20" s="8">
        <v>0</v>
      </c>
      <c r="O20" s="8">
        <v>2</v>
      </c>
      <c r="P20" s="8">
        <v>1</v>
      </c>
      <c r="Q20" s="56">
        <v>3</v>
      </c>
      <c r="R20" s="56">
        <v>1</v>
      </c>
      <c r="S20" s="56">
        <v>1</v>
      </c>
      <c r="T20" s="56">
        <v>0</v>
      </c>
      <c r="U20" s="56">
        <v>1</v>
      </c>
      <c r="V20" s="56">
        <v>0</v>
      </c>
      <c r="W20" s="56">
        <v>0</v>
      </c>
      <c r="X20" s="56">
        <v>0</v>
      </c>
      <c r="Y20" s="56">
        <v>2</v>
      </c>
      <c r="Z20" s="56">
        <v>1</v>
      </c>
      <c r="AA20" s="56">
        <v>1</v>
      </c>
      <c r="AB20" s="56">
        <v>0</v>
      </c>
      <c r="AC20" s="56">
        <v>2</v>
      </c>
      <c r="AD20" s="56">
        <v>0</v>
      </c>
      <c r="AE20" s="56">
        <v>1</v>
      </c>
      <c r="AF20" s="56">
        <v>0</v>
      </c>
      <c r="AG20" s="56">
        <v>3</v>
      </c>
      <c r="AH20" s="56">
        <v>1</v>
      </c>
    </row>
    <row r="21" spans="1:34" x14ac:dyDescent="0.35">
      <c r="A21" s="55" t="s">
        <v>117</v>
      </c>
      <c r="B21" s="56">
        <v>2</v>
      </c>
      <c r="C21" s="56">
        <v>1</v>
      </c>
      <c r="D21" s="56">
        <v>4</v>
      </c>
      <c r="E21" s="56">
        <v>3</v>
      </c>
      <c r="F21" s="56">
        <v>1</v>
      </c>
      <c r="G21" s="56"/>
      <c r="I21" s="75">
        <v>5</v>
      </c>
      <c r="J21" s="75">
        <v>4</v>
      </c>
      <c r="K21" s="8">
        <v>2</v>
      </c>
      <c r="L21" s="8">
        <v>1</v>
      </c>
      <c r="M21" s="8">
        <v>2</v>
      </c>
      <c r="N21" s="8">
        <v>1</v>
      </c>
      <c r="O21" s="8">
        <v>3</v>
      </c>
      <c r="P21" s="8">
        <v>3</v>
      </c>
      <c r="Q21" s="56">
        <v>2</v>
      </c>
      <c r="R21" s="56">
        <v>3</v>
      </c>
      <c r="S21" s="56">
        <v>2</v>
      </c>
      <c r="T21" s="56">
        <v>1</v>
      </c>
      <c r="U21" s="56">
        <v>2</v>
      </c>
      <c r="V21" s="56">
        <v>1</v>
      </c>
      <c r="W21" s="56">
        <v>3</v>
      </c>
      <c r="X21" s="56">
        <v>4</v>
      </c>
      <c r="Y21" s="56">
        <v>3</v>
      </c>
      <c r="Z21" s="56">
        <v>3</v>
      </c>
      <c r="AA21" s="56">
        <v>2</v>
      </c>
      <c r="AB21" s="56">
        <v>2</v>
      </c>
      <c r="AC21" s="56">
        <v>3</v>
      </c>
      <c r="AD21" s="56">
        <v>2</v>
      </c>
      <c r="AE21" s="56">
        <v>4</v>
      </c>
      <c r="AF21" s="56">
        <v>3</v>
      </c>
      <c r="AG21" s="56">
        <v>3</v>
      </c>
      <c r="AH21" s="56">
        <v>3</v>
      </c>
    </row>
    <row r="22" spans="1:34" x14ac:dyDescent="0.35">
      <c r="A22" s="55" t="s">
        <v>118</v>
      </c>
      <c r="B22" s="56">
        <v>1</v>
      </c>
      <c r="C22" s="56">
        <v>2</v>
      </c>
      <c r="D22" s="56">
        <v>2</v>
      </c>
      <c r="E22" s="56">
        <v>3</v>
      </c>
      <c r="F22" s="56">
        <v>1</v>
      </c>
      <c r="G22" s="56">
        <v>2</v>
      </c>
      <c r="I22" s="75">
        <v>3</v>
      </c>
      <c r="J22" s="75">
        <v>4</v>
      </c>
      <c r="K22" s="8">
        <v>2</v>
      </c>
      <c r="L22" s="8">
        <v>3</v>
      </c>
      <c r="M22" s="8">
        <v>2</v>
      </c>
      <c r="N22" s="8">
        <v>3</v>
      </c>
      <c r="O22" s="8">
        <v>3</v>
      </c>
      <c r="P22" s="8">
        <v>3</v>
      </c>
      <c r="Q22" s="56">
        <v>1</v>
      </c>
      <c r="R22" s="56">
        <v>2</v>
      </c>
      <c r="S22" s="56">
        <v>1</v>
      </c>
      <c r="T22" s="56">
        <v>1</v>
      </c>
      <c r="U22" s="56">
        <v>1</v>
      </c>
      <c r="V22" s="56">
        <v>2</v>
      </c>
      <c r="W22" s="56">
        <v>1</v>
      </c>
      <c r="X22" s="56">
        <v>1</v>
      </c>
      <c r="Y22" s="56">
        <v>2</v>
      </c>
      <c r="Z22" s="56">
        <v>2</v>
      </c>
      <c r="AA22" s="56">
        <v>1</v>
      </c>
      <c r="AB22" s="56">
        <v>2</v>
      </c>
      <c r="AC22" s="56">
        <v>2</v>
      </c>
      <c r="AD22" s="56">
        <v>3</v>
      </c>
      <c r="AE22" s="56">
        <v>2</v>
      </c>
      <c r="AF22" s="56">
        <v>3</v>
      </c>
      <c r="AG22" s="56">
        <v>2</v>
      </c>
      <c r="AH22" s="56">
        <v>3</v>
      </c>
    </row>
    <row r="23" spans="1:34" x14ac:dyDescent="0.35">
      <c r="A23" s="55" t="s">
        <v>199</v>
      </c>
      <c r="B23" s="56">
        <v>4</v>
      </c>
      <c r="C23" s="56">
        <v>2</v>
      </c>
      <c r="D23" s="56">
        <v>5</v>
      </c>
      <c r="E23" s="56">
        <v>2</v>
      </c>
      <c r="F23" s="56">
        <v>1</v>
      </c>
      <c r="G23" s="56">
        <v>1</v>
      </c>
      <c r="I23" s="75">
        <v>5</v>
      </c>
      <c r="J23" s="75">
        <v>2</v>
      </c>
      <c r="K23" s="8">
        <v>1</v>
      </c>
      <c r="L23" s="8">
        <v>1</v>
      </c>
      <c r="M23" s="8">
        <v>2</v>
      </c>
      <c r="N23" s="8">
        <v>2</v>
      </c>
      <c r="O23" s="8">
        <v>2</v>
      </c>
      <c r="P23" s="8">
        <v>1</v>
      </c>
      <c r="Q23" s="56">
        <v>1</v>
      </c>
      <c r="R23" s="56">
        <v>3</v>
      </c>
      <c r="S23" s="56">
        <v>1</v>
      </c>
      <c r="T23" s="56">
        <v>1</v>
      </c>
      <c r="U23" s="56">
        <v>0</v>
      </c>
      <c r="V23" s="56">
        <v>1</v>
      </c>
      <c r="W23" s="56">
        <v>0</v>
      </c>
      <c r="X23" s="56">
        <v>0</v>
      </c>
      <c r="Y23" s="56">
        <v>0</v>
      </c>
      <c r="Z23" s="56">
        <v>1</v>
      </c>
      <c r="AA23" s="56">
        <v>1</v>
      </c>
      <c r="AB23" s="56">
        <v>0</v>
      </c>
      <c r="AC23" s="56">
        <v>0</v>
      </c>
      <c r="AD23" s="56"/>
      <c r="AE23" s="56">
        <v>2</v>
      </c>
      <c r="AF23" s="56">
        <v>1</v>
      </c>
      <c r="AG23" s="56">
        <v>2</v>
      </c>
      <c r="AH23" s="56">
        <v>2</v>
      </c>
    </row>
    <row r="24" spans="1:34" x14ac:dyDescent="0.35">
      <c r="A24" s="55" t="s">
        <v>200</v>
      </c>
      <c r="B24" s="56">
        <v>1</v>
      </c>
      <c r="C24" s="56"/>
      <c r="D24" s="56"/>
      <c r="E24" s="56"/>
      <c r="F24" s="56">
        <v>5</v>
      </c>
      <c r="G24" s="56">
        <v>5</v>
      </c>
      <c r="I24" s="75">
        <v>1</v>
      </c>
      <c r="J24" s="75">
        <v>3</v>
      </c>
      <c r="K24" s="8">
        <v>4</v>
      </c>
      <c r="L24" s="8">
        <v>3</v>
      </c>
      <c r="M24" s="8">
        <v>1</v>
      </c>
      <c r="N24" s="8">
        <v>1</v>
      </c>
      <c r="O24" s="8"/>
      <c r="P24" s="8"/>
      <c r="Q24" s="56">
        <v>4</v>
      </c>
      <c r="R24" s="56">
        <v>2</v>
      </c>
      <c r="S24" s="56">
        <v>1</v>
      </c>
      <c r="T24" s="56">
        <v>1</v>
      </c>
      <c r="U24" s="56">
        <v>3</v>
      </c>
      <c r="V24" s="56">
        <v>2</v>
      </c>
      <c r="W24" s="56">
        <v>1</v>
      </c>
      <c r="X24" s="56">
        <v>1</v>
      </c>
      <c r="Y24" s="56">
        <v>2</v>
      </c>
      <c r="Z24" s="56">
        <v>1</v>
      </c>
      <c r="AA24" s="56">
        <v>3</v>
      </c>
      <c r="AB24" s="56">
        <v>1</v>
      </c>
      <c r="AC24" s="56">
        <v>4</v>
      </c>
      <c r="AD24" s="56">
        <v>3</v>
      </c>
      <c r="AE24" s="56"/>
      <c r="AF24" s="56"/>
      <c r="AG24" s="56">
        <v>2</v>
      </c>
      <c r="AH24" s="56">
        <v>1</v>
      </c>
    </row>
    <row r="25" spans="1:34" x14ac:dyDescent="0.35">
      <c r="A25" s="55" t="s">
        <v>201</v>
      </c>
      <c r="B25" s="56"/>
      <c r="C25" s="56"/>
      <c r="D25" s="56">
        <v>3</v>
      </c>
      <c r="E25" s="56">
        <v>1</v>
      </c>
      <c r="F25" s="56">
        <v>1</v>
      </c>
      <c r="G25" s="56"/>
      <c r="I25" s="75">
        <v>2</v>
      </c>
      <c r="J25" s="75">
        <v>1</v>
      </c>
      <c r="K25" s="8"/>
      <c r="L25" s="8"/>
      <c r="M25" s="8"/>
      <c r="N25" s="8"/>
      <c r="O25" s="8"/>
      <c r="P25" s="8"/>
      <c r="Q25" s="56">
        <v>0</v>
      </c>
      <c r="R25" s="56">
        <v>0</v>
      </c>
      <c r="S25" s="56">
        <v>0</v>
      </c>
      <c r="T25" s="56">
        <v>0</v>
      </c>
      <c r="U25" s="56">
        <v>0</v>
      </c>
      <c r="V25" s="56">
        <v>0</v>
      </c>
      <c r="W25" s="56">
        <v>0</v>
      </c>
      <c r="X25" s="56">
        <v>0</v>
      </c>
      <c r="Y25" s="56">
        <v>0</v>
      </c>
      <c r="Z25" s="56">
        <v>0</v>
      </c>
      <c r="AA25" s="56"/>
      <c r="AB25" s="56"/>
      <c r="AC25" s="56"/>
      <c r="AD25" s="56"/>
      <c r="AE25" s="56"/>
      <c r="AF25" s="56"/>
      <c r="AG25" s="56"/>
      <c r="AH25" s="56"/>
    </row>
    <row r="26" spans="1:34" x14ac:dyDescent="0.35">
      <c r="A26" s="55" t="s">
        <v>267</v>
      </c>
      <c r="B26" s="56"/>
      <c r="C26" s="56"/>
      <c r="D26" s="56"/>
      <c r="E26" s="56"/>
      <c r="F26" s="56"/>
      <c r="G26" s="56"/>
      <c r="I26" s="75"/>
      <c r="J26" s="75"/>
      <c r="K26" s="8"/>
      <c r="L26" s="8"/>
      <c r="M26" s="8"/>
      <c r="N26" s="8"/>
      <c r="O26" s="8">
        <v>4</v>
      </c>
      <c r="P26" s="8">
        <v>3</v>
      </c>
      <c r="Q26" s="56">
        <v>0</v>
      </c>
      <c r="R26" s="56">
        <v>1</v>
      </c>
      <c r="S26" s="56">
        <v>1</v>
      </c>
      <c r="T26" s="56">
        <v>1</v>
      </c>
      <c r="U26" s="56">
        <v>0</v>
      </c>
      <c r="V26" s="56">
        <v>0</v>
      </c>
      <c r="W26" s="56">
        <v>0</v>
      </c>
      <c r="X26" s="56">
        <v>0</v>
      </c>
      <c r="Y26" s="56">
        <v>1</v>
      </c>
      <c r="Z26" s="56">
        <v>0</v>
      </c>
      <c r="AA26" s="56"/>
      <c r="AB26" s="56">
        <v>1</v>
      </c>
      <c r="AC26" s="56"/>
      <c r="AD26" s="56"/>
      <c r="AE26" s="56">
        <v>2</v>
      </c>
      <c r="AF26" s="56">
        <v>3</v>
      </c>
      <c r="AG26" s="56">
        <v>1</v>
      </c>
      <c r="AH26" s="56">
        <v>2</v>
      </c>
    </row>
    <row r="27" spans="1:34" x14ac:dyDescent="0.35">
      <c r="A27" s="55" t="s">
        <v>202</v>
      </c>
      <c r="B27" s="56">
        <v>3</v>
      </c>
      <c r="C27" s="56">
        <v>4</v>
      </c>
      <c r="D27" s="56">
        <v>2</v>
      </c>
      <c r="E27" s="56">
        <v>4</v>
      </c>
      <c r="F27" s="56"/>
      <c r="G27" s="56"/>
      <c r="I27" s="75">
        <v>1</v>
      </c>
      <c r="J27" s="75">
        <v>2</v>
      </c>
      <c r="K27" s="8">
        <v>1</v>
      </c>
      <c r="L27" s="8">
        <v>2</v>
      </c>
      <c r="M27" s="8">
        <v>1</v>
      </c>
      <c r="N27" s="8">
        <v>0</v>
      </c>
      <c r="O27" s="8"/>
      <c r="P27" s="8"/>
      <c r="Q27" s="56">
        <v>2</v>
      </c>
      <c r="R27" s="56">
        <v>1</v>
      </c>
      <c r="S27" s="56">
        <v>0</v>
      </c>
      <c r="T27" s="56">
        <v>0</v>
      </c>
      <c r="U27" s="56">
        <v>0</v>
      </c>
      <c r="V27" s="56">
        <v>0</v>
      </c>
      <c r="W27" s="56">
        <v>0</v>
      </c>
      <c r="X27" s="56">
        <v>0</v>
      </c>
      <c r="Y27" s="56">
        <v>2</v>
      </c>
      <c r="Z27" s="56">
        <v>1</v>
      </c>
      <c r="AA27" s="56">
        <v>1</v>
      </c>
      <c r="AB27" s="56">
        <v>2</v>
      </c>
      <c r="AC27" s="56"/>
      <c r="AD27" s="56"/>
      <c r="AE27" s="56">
        <v>1</v>
      </c>
      <c r="AF27" s="56">
        <v>1</v>
      </c>
      <c r="AG27" s="56"/>
      <c r="AH27" s="56"/>
    </row>
    <row r="28" spans="1:34" x14ac:dyDescent="0.35">
      <c r="A28" s="55" t="s">
        <v>204</v>
      </c>
      <c r="B28" s="56"/>
      <c r="C28" s="56"/>
      <c r="D28" s="56"/>
      <c r="E28" s="56"/>
      <c r="F28" s="56"/>
      <c r="G28" s="56"/>
      <c r="I28" s="75"/>
      <c r="J28" s="75"/>
      <c r="K28" s="8"/>
      <c r="L28" s="8"/>
      <c r="M28" s="8">
        <v>2</v>
      </c>
      <c r="N28" s="8">
        <v>0</v>
      </c>
      <c r="O28" s="8"/>
      <c r="P28" s="8"/>
      <c r="Q28" s="56">
        <v>0</v>
      </c>
      <c r="R28" s="56">
        <v>0</v>
      </c>
      <c r="S28" s="56">
        <v>0</v>
      </c>
      <c r="T28" s="56">
        <v>0</v>
      </c>
      <c r="U28" s="56">
        <v>0</v>
      </c>
      <c r="V28" s="56">
        <v>0</v>
      </c>
      <c r="W28" s="56">
        <v>0</v>
      </c>
      <c r="X28" s="56">
        <v>0</v>
      </c>
      <c r="Y28" s="56">
        <v>0</v>
      </c>
      <c r="Z28" s="56">
        <v>0</v>
      </c>
      <c r="AA28" s="56"/>
      <c r="AB28" s="56"/>
      <c r="AC28" s="56"/>
      <c r="AD28" s="56"/>
      <c r="AE28" s="56"/>
      <c r="AF28" s="56"/>
      <c r="AG28" s="56"/>
      <c r="AH28" s="56"/>
    </row>
    <row r="29" spans="1:34" ht="174" x14ac:dyDescent="0.35">
      <c r="A29" s="57" t="s">
        <v>205</v>
      </c>
      <c r="B29" s="57"/>
      <c r="C29" s="57" t="s">
        <v>268</v>
      </c>
      <c r="D29" s="57"/>
      <c r="E29" s="57"/>
      <c r="F29" s="57" t="s">
        <v>269</v>
      </c>
      <c r="G29" s="57" t="s">
        <v>270</v>
      </c>
      <c r="I29" s="59" t="s">
        <v>271</v>
      </c>
      <c r="J29" s="59" t="s">
        <v>272</v>
      </c>
      <c r="K29" s="57" t="s">
        <v>273</v>
      </c>
      <c r="L29" s="57"/>
      <c r="M29" s="57" t="s">
        <v>274</v>
      </c>
      <c r="N29" s="57" t="s">
        <v>275</v>
      </c>
      <c r="O29" s="57" t="s">
        <v>276</v>
      </c>
      <c r="P29" s="57"/>
      <c r="Q29" s="57" t="s">
        <v>277</v>
      </c>
      <c r="R29" s="57" t="s">
        <v>278</v>
      </c>
      <c r="S29" s="57" t="s">
        <v>279</v>
      </c>
      <c r="T29" s="57" t="s">
        <v>280</v>
      </c>
      <c r="U29" s="57" t="s">
        <v>281</v>
      </c>
      <c r="V29" s="57" t="s">
        <v>282</v>
      </c>
      <c r="W29" s="57" t="s">
        <v>283</v>
      </c>
      <c r="X29" s="57" t="s">
        <v>284</v>
      </c>
      <c r="Y29" s="57" t="s">
        <v>285</v>
      </c>
      <c r="Z29" s="57" t="s">
        <v>286</v>
      </c>
      <c r="AA29" s="57" t="s">
        <v>287</v>
      </c>
      <c r="AB29" s="57" t="s">
        <v>288</v>
      </c>
      <c r="AC29" s="57" t="s">
        <v>289</v>
      </c>
      <c r="AD29" s="57" t="s">
        <v>290</v>
      </c>
      <c r="AE29" s="57" t="s">
        <v>291</v>
      </c>
      <c r="AF29" s="57" t="s">
        <v>292</v>
      </c>
      <c r="AG29" s="57" t="s">
        <v>293</v>
      </c>
      <c r="AH29" s="57"/>
    </row>
    <row r="30" spans="1:34" x14ac:dyDescent="0.35">
      <c r="A30" s="76" t="s">
        <v>294</v>
      </c>
      <c r="B30" s="3"/>
      <c r="C30" s="3"/>
      <c r="D30" s="3"/>
      <c r="E30" s="3"/>
      <c r="F30" s="3"/>
      <c r="G30" s="3"/>
      <c r="H30" s="6"/>
      <c r="I30" s="6"/>
      <c r="J30" s="3"/>
      <c r="K30" s="6"/>
      <c r="L30" s="6"/>
      <c r="M30" s="6"/>
      <c r="N30" s="6"/>
      <c r="O30" s="6"/>
      <c r="P30" s="6"/>
      <c r="Q30" s="3" t="s">
        <v>295</v>
      </c>
      <c r="R30" s="3" t="s">
        <v>295</v>
      </c>
      <c r="S30" s="3" t="s">
        <v>295</v>
      </c>
      <c r="T30" s="3" t="s">
        <v>295</v>
      </c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2" spans="1:34" x14ac:dyDescent="0.35">
      <c r="K32" s="47" t="s">
        <v>73</v>
      </c>
      <c r="L32" s="47" t="s">
        <v>74</v>
      </c>
      <c r="M32" s="47" t="s">
        <v>75</v>
      </c>
      <c r="N32" s="47" t="s">
        <v>76</v>
      </c>
      <c r="O32" s="47" t="s">
        <v>77</v>
      </c>
      <c r="P32" s="47" t="s">
        <v>78</v>
      </c>
      <c r="Q32" s="47" t="s">
        <v>79</v>
      </c>
      <c r="R32" s="47" t="s">
        <v>80</v>
      </c>
      <c r="S32" s="47" t="s">
        <v>81</v>
      </c>
      <c r="T32" s="47" t="s">
        <v>82</v>
      </c>
      <c r="U32" s="47" t="s">
        <v>83</v>
      </c>
      <c r="V32" s="47" t="s">
        <v>84</v>
      </c>
      <c r="W32" s="47" t="s">
        <v>85</v>
      </c>
      <c r="X32" s="47" t="s">
        <v>86</v>
      </c>
      <c r="Y32" s="47" t="s">
        <v>87</v>
      </c>
      <c r="Z32" s="47" t="s">
        <v>88</v>
      </c>
      <c r="AA32" s="60" t="s">
        <v>89</v>
      </c>
      <c r="AB32" s="60" t="s">
        <v>90</v>
      </c>
      <c r="AC32" s="60" t="s">
        <v>91</v>
      </c>
      <c r="AD32" s="60" t="s">
        <v>92</v>
      </c>
      <c r="AE32" s="60" t="s">
        <v>93</v>
      </c>
      <c r="AF32" s="60" t="s">
        <v>94</v>
      </c>
      <c r="AG32" s="60" t="s">
        <v>107</v>
      </c>
      <c r="AH32" s="60" t="s">
        <v>95</v>
      </c>
    </row>
    <row r="33" spans="11:34" ht="174" x14ac:dyDescent="0.35">
      <c r="K33" s="57" t="s">
        <v>273</v>
      </c>
      <c r="L33" s="57"/>
      <c r="M33" s="57" t="s">
        <v>274</v>
      </c>
      <c r="N33" s="57" t="s">
        <v>275</v>
      </c>
      <c r="O33" s="57" t="s">
        <v>276</v>
      </c>
      <c r="P33" s="57"/>
      <c r="Q33" s="57" t="s">
        <v>277</v>
      </c>
      <c r="R33" s="57" t="s">
        <v>278</v>
      </c>
      <c r="S33" s="57" t="s">
        <v>279</v>
      </c>
      <c r="T33" s="57" t="s">
        <v>280</v>
      </c>
      <c r="U33" s="57" t="s">
        <v>281</v>
      </c>
      <c r="V33" s="57" t="s">
        <v>282</v>
      </c>
      <c r="W33" s="57" t="s">
        <v>283</v>
      </c>
      <c r="X33" s="57" t="s">
        <v>284</v>
      </c>
      <c r="Y33" s="57" t="s">
        <v>285</v>
      </c>
      <c r="Z33" s="57" t="s">
        <v>286</v>
      </c>
      <c r="AA33" s="57" t="s">
        <v>287</v>
      </c>
      <c r="AB33" s="57" t="s">
        <v>288</v>
      </c>
      <c r="AC33" s="57" t="s">
        <v>289</v>
      </c>
      <c r="AD33" s="57" t="s">
        <v>290</v>
      </c>
      <c r="AE33" s="57" t="s">
        <v>291</v>
      </c>
      <c r="AF33" s="57" t="s">
        <v>292</v>
      </c>
      <c r="AG33" s="57" t="s">
        <v>293</v>
      </c>
      <c r="AH33" s="5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D5917-0F49-4714-9881-00A942865AC4}">
  <dimension ref="A1:T33"/>
  <sheetViews>
    <sheetView workbookViewId="0">
      <selection activeCell="A14" sqref="A14:S15"/>
    </sheetView>
  </sheetViews>
  <sheetFormatPr defaultRowHeight="14.5" x14ac:dyDescent="0.35"/>
  <cols>
    <col min="1" max="1" width="13.453125" bestFit="1" customWidth="1"/>
    <col min="2" max="2" width="23.7265625" bestFit="1" customWidth="1"/>
    <col min="3" max="3" width="9.90625" bestFit="1" customWidth="1"/>
    <col min="4" max="4" width="10.90625" bestFit="1" customWidth="1"/>
    <col min="5" max="5" width="8.26953125" bestFit="1" customWidth="1"/>
    <col min="6" max="6" width="9.26953125" bestFit="1" customWidth="1"/>
    <col min="7" max="7" width="10.1796875" bestFit="1" customWidth="1"/>
    <col min="8" max="8" width="10.08984375" bestFit="1" customWidth="1"/>
    <col min="9" max="10" width="5.7265625" bestFit="1" customWidth="1"/>
    <col min="11" max="11" width="6.08984375" bestFit="1" customWidth="1"/>
    <col min="12" max="12" width="6.54296875" bestFit="1" customWidth="1"/>
    <col min="13" max="13" width="10.90625" bestFit="1" customWidth="1"/>
    <col min="14" max="14" width="6" bestFit="1" customWidth="1"/>
    <col min="15" max="15" width="9.81640625" bestFit="1" customWidth="1"/>
    <col min="16" max="16" width="10.7265625" bestFit="1" customWidth="1"/>
    <col min="17" max="17" width="8.1796875" bestFit="1" customWidth="1"/>
    <col min="18" max="18" width="8" bestFit="1" customWidth="1"/>
    <col min="19" max="19" width="10.08984375" bestFit="1" customWidth="1"/>
    <col min="20" max="20" width="9.36328125" bestFit="1" customWidth="1"/>
  </cols>
  <sheetData>
    <row r="1" spans="1:20" x14ac:dyDescent="0.35">
      <c r="A1" s="45" t="s">
        <v>111</v>
      </c>
      <c r="B1" s="45" t="s">
        <v>112</v>
      </c>
      <c r="C1" s="46" t="s">
        <v>152</v>
      </c>
      <c r="D1" s="46" t="s">
        <v>153</v>
      </c>
      <c r="E1" s="46" t="s">
        <v>154</v>
      </c>
      <c r="F1" s="46" t="s">
        <v>155</v>
      </c>
      <c r="G1" s="46" t="s">
        <v>156</v>
      </c>
      <c r="H1" s="46" t="s">
        <v>157</v>
      </c>
      <c r="I1" s="46" t="s">
        <v>113</v>
      </c>
      <c r="J1" s="46" t="s">
        <v>114</v>
      </c>
      <c r="K1" s="46" t="s">
        <v>115</v>
      </c>
      <c r="L1" s="46" t="s">
        <v>116</v>
      </c>
      <c r="M1" s="46" t="s">
        <v>117</v>
      </c>
      <c r="N1" s="46" t="s">
        <v>118</v>
      </c>
      <c r="O1" s="46" t="s">
        <v>158</v>
      </c>
      <c r="P1" s="46" t="s">
        <v>159</v>
      </c>
      <c r="Q1" s="46" t="s">
        <v>160</v>
      </c>
      <c r="R1" s="46" t="s">
        <v>161</v>
      </c>
      <c r="S1" s="46" t="s">
        <v>162</v>
      </c>
      <c r="T1" t="s">
        <v>163</v>
      </c>
    </row>
    <row r="2" spans="1:20" x14ac:dyDescent="0.35">
      <c r="A2" s="46" t="s">
        <v>11</v>
      </c>
      <c r="B2" s="45" t="s">
        <v>124</v>
      </c>
      <c r="C2" s="46">
        <v>5</v>
      </c>
      <c r="D2" s="46">
        <v>1</v>
      </c>
      <c r="E2" s="46">
        <v>2</v>
      </c>
      <c r="F2" s="46">
        <v>0</v>
      </c>
      <c r="G2" s="46">
        <v>1</v>
      </c>
      <c r="H2" s="46">
        <v>0</v>
      </c>
      <c r="I2" s="46">
        <v>0</v>
      </c>
      <c r="J2" s="46">
        <v>1</v>
      </c>
      <c r="K2" s="46">
        <v>0</v>
      </c>
      <c r="L2" s="46">
        <v>4</v>
      </c>
      <c r="M2" s="46">
        <v>4</v>
      </c>
      <c r="N2" s="46">
        <v>2</v>
      </c>
      <c r="O2" s="46">
        <v>5</v>
      </c>
      <c r="P2" s="46">
        <v>0</v>
      </c>
      <c r="Q2" s="46">
        <v>3</v>
      </c>
      <c r="R2" s="46">
        <v>0</v>
      </c>
      <c r="S2" s="46">
        <v>2</v>
      </c>
      <c r="T2">
        <v>0</v>
      </c>
    </row>
    <row r="3" spans="1:20" x14ac:dyDescent="0.35">
      <c r="A3" s="81" t="s">
        <v>10</v>
      </c>
      <c r="B3" s="82" t="s">
        <v>124</v>
      </c>
      <c r="C3" s="81">
        <v>3</v>
      </c>
      <c r="D3" s="81">
        <v>0</v>
      </c>
      <c r="E3" s="81">
        <v>1</v>
      </c>
      <c r="F3" s="81">
        <v>0</v>
      </c>
      <c r="G3" s="81">
        <v>3</v>
      </c>
      <c r="H3" s="81">
        <v>0</v>
      </c>
      <c r="I3" s="81">
        <v>0</v>
      </c>
      <c r="J3" s="81">
        <v>4</v>
      </c>
      <c r="K3" s="81">
        <v>0</v>
      </c>
      <c r="L3" s="81">
        <v>1</v>
      </c>
      <c r="M3" s="81">
        <v>3</v>
      </c>
      <c r="N3" s="81">
        <v>3</v>
      </c>
      <c r="O3" s="81">
        <v>2</v>
      </c>
      <c r="P3" s="81">
        <v>0</v>
      </c>
      <c r="Q3" s="81">
        <v>1</v>
      </c>
      <c r="R3" s="81">
        <v>0</v>
      </c>
      <c r="S3" s="81">
        <v>4</v>
      </c>
      <c r="T3">
        <v>0</v>
      </c>
    </row>
    <row r="4" spans="1:20" x14ac:dyDescent="0.35">
      <c r="A4" s="83" t="s">
        <v>8</v>
      </c>
      <c r="B4" s="84" t="s">
        <v>123</v>
      </c>
      <c r="C4" s="83">
        <v>4</v>
      </c>
      <c r="D4" s="83">
        <v>2</v>
      </c>
      <c r="E4" s="83">
        <v>0</v>
      </c>
      <c r="F4" s="83">
        <v>0</v>
      </c>
      <c r="G4" s="83">
        <v>2</v>
      </c>
      <c r="H4" s="83">
        <v>0</v>
      </c>
      <c r="I4" s="83">
        <v>2</v>
      </c>
      <c r="J4" s="83">
        <v>2</v>
      </c>
      <c r="K4" s="83">
        <v>1</v>
      </c>
      <c r="L4" s="83">
        <v>3</v>
      </c>
      <c r="M4" s="83">
        <v>2</v>
      </c>
      <c r="N4" s="83">
        <v>1</v>
      </c>
      <c r="O4" s="83">
        <v>4</v>
      </c>
      <c r="P4" s="83">
        <v>1</v>
      </c>
      <c r="Q4" s="83">
        <v>0</v>
      </c>
      <c r="R4" s="83">
        <v>0</v>
      </c>
      <c r="S4" s="83">
        <v>3</v>
      </c>
      <c r="T4">
        <v>0</v>
      </c>
    </row>
    <row r="5" spans="1:20" x14ac:dyDescent="0.35">
      <c r="A5" s="81" t="s">
        <v>9</v>
      </c>
      <c r="B5" s="82" t="s">
        <v>123</v>
      </c>
      <c r="C5" s="81">
        <v>3</v>
      </c>
      <c r="D5" s="81">
        <v>1</v>
      </c>
      <c r="E5" s="81">
        <v>0</v>
      </c>
      <c r="F5" s="81">
        <v>0</v>
      </c>
      <c r="G5" s="81">
        <v>3</v>
      </c>
      <c r="H5" s="81">
        <v>0</v>
      </c>
      <c r="I5" s="81">
        <v>1</v>
      </c>
      <c r="J5" s="81">
        <v>4</v>
      </c>
      <c r="K5" s="81">
        <v>0</v>
      </c>
      <c r="L5" s="81">
        <v>0</v>
      </c>
      <c r="M5" s="81">
        <v>1</v>
      </c>
      <c r="N5" s="81">
        <v>2</v>
      </c>
      <c r="O5" s="81">
        <v>2</v>
      </c>
      <c r="P5" s="81">
        <v>0</v>
      </c>
      <c r="Q5" s="81">
        <v>0</v>
      </c>
      <c r="R5" s="81">
        <v>0</v>
      </c>
      <c r="S5" s="81">
        <v>4</v>
      </c>
      <c r="T5">
        <v>0</v>
      </c>
    </row>
    <row r="6" spans="1:20" x14ac:dyDescent="0.35">
      <c r="A6" s="84" t="s">
        <v>87</v>
      </c>
      <c r="B6" s="84" t="s">
        <v>142</v>
      </c>
      <c r="C6" s="84">
        <v>0</v>
      </c>
      <c r="D6" s="84">
        <v>1</v>
      </c>
      <c r="E6" s="84">
        <v>0</v>
      </c>
      <c r="F6" s="84">
        <v>0</v>
      </c>
      <c r="G6" s="84">
        <v>3</v>
      </c>
      <c r="H6" s="84">
        <v>0</v>
      </c>
      <c r="I6" s="84">
        <v>1</v>
      </c>
      <c r="J6" s="84">
        <v>0</v>
      </c>
      <c r="K6" s="84">
        <v>0</v>
      </c>
      <c r="L6" s="84">
        <v>2</v>
      </c>
      <c r="M6" s="84">
        <v>3</v>
      </c>
      <c r="N6" s="84">
        <v>2</v>
      </c>
      <c r="O6" s="84">
        <v>0</v>
      </c>
      <c r="P6" s="84">
        <v>2</v>
      </c>
      <c r="Q6" s="84">
        <v>0</v>
      </c>
      <c r="R6" s="84">
        <v>1</v>
      </c>
      <c r="S6" s="84">
        <v>2</v>
      </c>
      <c r="T6">
        <v>0</v>
      </c>
    </row>
    <row r="7" spans="1:20" x14ac:dyDescent="0.35">
      <c r="A7" s="82" t="s">
        <v>88</v>
      </c>
      <c r="B7" s="82" t="s">
        <v>142</v>
      </c>
      <c r="C7" s="82">
        <v>1</v>
      </c>
      <c r="D7" s="82">
        <v>1</v>
      </c>
      <c r="E7" s="82">
        <v>0</v>
      </c>
      <c r="F7" s="82">
        <v>0</v>
      </c>
      <c r="G7" s="82">
        <v>2</v>
      </c>
      <c r="H7" s="82">
        <v>0</v>
      </c>
      <c r="I7" s="82">
        <v>1</v>
      </c>
      <c r="J7" s="82">
        <v>2</v>
      </c>
      <c r="K7" s="82">
        <v>0</v>
      </c>
      <c r="L7" s="82">
        <v>1</v>
      </c>
      <c r="M7" s="82">
        <v>3</v>
      </c>
      <c r="N7" s="82">
        <v>2</v>
      </c>
      <c r="O7" s="82">
        <v>1</v>
      </c>
      <c r="P7" s="82">
        <v>1</v>
      </c>
      <c r="Q7" s="82">
        <v>0</v>
      </c>
      <c r="R7" s="82">
        <v>0</v>
      </c>
      <c r="S7" s="82">
        <v>1</v>
      </c>
      <c r="T7">
        <v>0</v>
      </c>
    </row>
    <row r="8" spans="1:20" x14ac:dyDescent="0.35">
      <c r="A8" s="83" t="s">
        <v>73</v>
      </c>
      <c r="B8" s="84" t="s">
        <v>119</v>
      </c>
      <c r="C8" s="83">
        <v>2</v>
      </c>
      <c r="D8" s="83">
        <v>5</v>
      </c>
      <c r="E8" s="83">
        <v>0</v>
      </c>
      <c r="F8" s="83">
        <v>0</v>
      </c>
      <c r="G8" s="83">
        <v>0</v>
      </c>
      <c r="H8" s="83">
        <v>0</v>
      </c>
      <c r="I8" s="83">
        <v>0</v>
      </c>
      <c r="J8" s="83">
        <v>2</v>
      </c>
      <c r="K8" s="83">
        <v>1</v>
      </c>
      <c r="L8" s="83">
        <v>0</v>
      </c>
      <c r="M8" s="83">
        <v>2</v>
      </c>
      <c r="N8" s="83">
        <v>2</v>
      </c>
      <c r="O8" s="83">
        <v>1</v>
      </c>
      <c r="P8" s="83">
        <v>4</v>
      </c>
      <c r="Q8" s="83">
        <v>0</v>
      </c>
      <c r="R8" s="83">
        <v>0</v>
      </c>
      <c r="S8" s="83">
        <v>1</v>
      </c>
      <c r="T8">
        <v>0</v>
      </c>
    </row>
    <row r="9" spans="1:20" x14ac:dyDescent="0.35">
      <c r="A9" s="81" t="s">
        <v>74</v>
      </c>
      <c r="B9" s="82" t="s">
        <v>119</v>
      </c>
      <c r="C9" s="81">
        <v>2</v>
      </c>
      <c r="D9" s="81">
        <v>4</v>
      </c>
      <c r="E9" s="81">
        <v>0</v>
      </c>
      <c r="F9" s="81">
        <v>0</v>
      </c>
      <c r="G9" s="81">
        <v>1</v>
      </c>
      <c r="H9" s="81">
        <v>0</v>
      </c>
      <c r="I9" s="81">
        <v>0</v>
      </c>
      <c r="J9" s="81">
        <v>5</v>
      </c>
      <c r="K9" s="81">
        <v>0</v>
      </c>
      <c r="L9" s="81">
        <v>0</v>
      </c>
      <c r="M9" s="81">
        <v>1</v>
      </c>
      <c r="N9" s="81">
        <v>3</v>
      </c>
      <c r="O9" s="81">
        <v>1</v>
      </c>
      <c r="P9" s="81">
        <v>3</v>
      </c>
      <c r="Q9" s="81">
        <v>0</v>
      </c>
      <c r="R9" s="81">
        <v>0</v>
      </c>
      <c r="S9" s="81">
        <v>2</v>
      </c>
      <c r="T9">
        <v>0</v>
      </c>
    </row>
    <row r="10" spans="1:20" x14ac:dyDescent="0.35">
      <c r="A10" s="83" t="s">
        <v>4</v>
      </c>
      <c r="B10" s="84" t="s">
        <v>125</v>
      </c>
      <c r="C10" s="83">
        <v>1</v>
      </c>
      <c r="D10" s="83">
        <v>4</v>
      </c>
      <c r="E10" s="83">
        <v>0</v>
      </c>
      <c r="F10" s="83">
        <v>0</v>
      </c>
      <c r="G10" s="83">
        <v>0</v>
      </c>
      <c r="H10" s="83">
        <v>0</v>
      </c>
      <c r="I10" s="83">
        <v>0</v>
      </c>
      <c r="J10" s="83">
        <v>2</v>
      </c>
      <c r="K10" s="83">
        <v>2</v>
      </c>
      <c r="L10" s="83">
        <v>1</v>
      </c>
      <c r="M10" s="83">
        <v>1</v>
      </c>
      <c r="N10" s="83">
        <v>1</v>
      </c>
      <c r="O10" s="83">
        <v>1</v>
      </c>
      <c r="P10" s="83">
        <v>5</v>
      </c>
      <c r="Q10" s="83">
        <v>1</v>
      </c>
      <c r="R10" s="83">
        <v>0</v>
      </c>
      <c r="S10" s="83">
        <v>0</v>
      </c>
      <c r="T10">
        <v>0</v>
      </c>
    </row>
    <row r="11" spans="1:20" x14ac:dyDescent="0.35">
      <c r="A11" s="81" t="s">
        <v>5</v>
      </c>
      <c r="B11" s="82" t="s">
        <v>125</v>
      </c>
      <c r="C11" s="81">
        <v>1</v>
      </c>
      <c r="D11" s="81">
        <v>5</v>
      </c>
      <c r="E11" s="81">
        <v>0</v>
      </c>
      <c r="F11" s="81">
        <v>0</v>
      </c>
      <c r="G11" s="81">
        <v>0</v>
      </c>
      <c r="H11" s="81">
        <v>0</v>
      </c>
      <c r="I11" s="81">
        <v>0</v>
      </c>
      <c r="J11" s="81">
        <v>5</v>
      </c>
      <c r="K11" s="81">
        <v>0</v>
      </c>
      <c r="L11" s="81">
        <v>0</v>
      </c>
      <c r="M11" s="81">
        <v>0</v>
      </c>
      <c r="N11" s="81">
        <v>2</v>
      </c>
      <c r="O11" s="81">
        <v>1</v>
      </c>
      <c r="P11" s="81">
        <v>5</v>
      </c>
      <c r="Q11" s="81">
        <v>0</v>
      </c>
      <c r="R11" s="81">
        <v>0</v>
      </c>
      <c r="S11" s="81">
        <v>0</v>
      </c>
      <c r="T11">
        <v>0</v>
      </c>
    </row>
    <row r="12" spans="1:20" x14ac:dyDescent="0.35">
      <c r="A12" s="83" t="s">
        <v>75</v>
      </c>
      <c r="B12" s="84" t="s">
        <v>120</v>
      </c>
      <c r="C12" s="83">
        <v>4</v>
      </c>
      <c r="D12" s="83">
        <v>1</v>
      </c>
      <c r="E12" s="83">
        <v>0</v>
      </c>
      <c r="F12" s="83">
        <v>0</v>
      </c>
      <c r="G12" s="83">
        <v>1</v>
      </c>
      <c r="H12" s="83">
        <v>1</v>
      </c>
      <c r="I12" s="83">
        <v>0</v>
      </c>
      <c r="J12" s="83">
        <v>1</v>
      </c>
      <c r="K12" s="83">
        <v>1</v>
      </c>
      <c r="L12" s="83">
        <v>0</v>
      </c>
      <c r="M12" s="83">
        <v>2</v>
      </c>
      <c r="N12" s="83">
        <v>2</v>
      </c>
      <c r="O12" s="83">
        <v>2</v>
      </c>
      <c r="P12" s="83">
        <v>1</v>
      </c>
      <c r="Q12" s="83">
        <v>0</v>
      </c>
      <c r="R12" s="83">
        <v>0</v>
      </c>
      <c r="S12" s="83">
        <v>1</v>
      </c>
      <c r="T12">
        <v>2</v>
      </c>
    </row>
    <row r="13" spans="1:20" x14ac:dyDescent="0.35">
      <c r="A13" s="81" t="s">
        <v>76</v>
      </c>
      <c r="B13" s="82" t="s">
        <v>120</v>
      </c>
      <c r="C13" s="81">
        <v>2</v>
      </c>
      <c r="D13" s="81">
        <v>1</v>
      </c>
      <c r="E13" s="81">
        <v>0</v>
      </c>
      <c r="F13" s="81">
        <v>0</v>
      </c>
      <c r="G13" s="81">
        <v>0</v>
      </c>
      <c r="H13" s="81">
        <v>0</v>
      </c>
      <c r="I13" s="81">
        <v>0</v>
      </c>
      <c r="J13" s="81">
        <v>4</v>
      </c>
      <c r="K13" s="81">
        <v>0</v>
      </c>
      <c r="L13" s="81">
        <v>0</v>
      </c>
      <c r="M13" s="81">
        <v>1</v>
      </c>
      <c r="N13" s="81">
        <v>3</v>
      </c>
      <c r="O13" s="81">
        <v>2</v>
      </c>
      <c r="P13" s="81">
        <v>1</v>
      </c>
      <c r="Q13" s="81">
        <v>0</v>
      </c>
      <c r="R13" s="81">
        <v>0</v>
      </c>
      <c r="S13" s="81">
        <v>0</v>
      </c>
      <c r="T13">
        <v>0</v>
      </c>
    </row>
    <row r="14" spans="1:20" x14ac:dyDescent="0.35">
      <c r="A14" s="84" t="s">
        <v>81</v>
      </c>
      <c r="B14" s="84" t="s">
        <v>139</v>
      </c>
      <c r="C14" s="84">
        <v>1</v>
      </c>
      <c r="D14" s="84">
        <v>2</v>
      </c>
      <c r="E14" s="84">
        <v>0</v>
      </c>
      <c r="F14" s="84">
        <v>1</v>
      </c>
      <c r="G14" s="84">
        <v>0</v>
      </c>
      <c r="H14" s="84">
        <v>0</v>
      </c>
      <c r="I14" s="84">
        <v>0</v>
      </c>
      <c r="J14" s="84">
        <v>1</v>
      </c>
      <c r="K14" s="84">
        <v>1</v>
      </c>
      <c r="L14" s="84">
        <v>1</v>
      </c>
      <c r="M14" s="84">
        <v>2</v>
      </c>
      <c r="N14" s="84">
        <v>1</v>
      </c>
      <c r="O14" s="84">
        <v>1</v>
      </c>
      <c r="P14" s="84">
        <v>1</v>
      </c>
      <c r="Q14" s="84">
        <v>0</v>
      </c>
      <c r="R14" s="84">
        <v>1</v>
      </c>
      <c r="S14" s="84">
        <v>0</v>
      </c>
      <c r="T14">
        <v>0</v>
      </c>
    </row>
    <row r="15" spans="1:20" x14ac:dyDescent="0.35">
      <c r="A15" s="82" t="s">
        <v>82</v>
      </c>
      <c r="B15" s="82" t="s">
        <v>139</v>
      </c>
      <c r="C15" s="82">
        <v>1</v>
      </c>
      <c r="D15" s="82">
        <v>2</v>
      </c>
      <c r="E15" s="82">
        <v>0</v>
      </c>
      <c r="F15" s="82">
        <v>1</v>
      </c>
      <c r="G15" s="82">
        <v>0</v>
      </c>
      <c r="H15" s="82">
        <v>0</v>
      </c>
      <c r="I15" s="82">
        <v>0</v>
      </c>
      <c r="J15" s="82">
        <v>3</v>
      </c>
      <c r="K15" s="82">
        <v>0</v>
      </c>
      <c r="L15" s="82">
        <v>0</v>
      </c>
      <c r="M15" s="82">
        <v>1</v>
      </c>
      <c r="N15" s="82">
        <v>1</v>
      </c>
      <c r="O15" s="82">
        <v>1</v>
      </c>
      <c r="P15" s="82">
        <v>1</v>
      </c>
      <c r="Q15" s="82">
        <v>0</v>
      </c>
      <c r="R15" s="82">
        <v>1</v>
      </c>
      <c r="S15" s="82">
        <v>0</v>
      </c>
      <c r="T15">
        <v>0</v>
      </c>
    </row>
    <row r="16" spans="1:20" x14ac:dyDescent="0.35">
      <c r="A16" s="83" t="s">
        <v>91</v>
      </c>
      <c r="B16" s="84" t="s">
        <v>145</v>
      </c>
      <c r="C16" s="83">
        <v>0</v>
      </c>
      <c r="D16" s="83">
        <v>4</v>
      </c>
      <c r="E16" s="83">
        <v>0</v>
      </c>
      <c r="F16" s="83">
        <v>0</v>
      </c>
      <c r="G16" s="83">
        <v>0</v>
      </c>
      <c r="H16" s="83">
        <v>0</v>
      </c>
      <c r="I16" s="83">
        <v>0</v>
      </c>
      <c r="J16" s="83">
        <v>1</v>
      </c>
      <c r="K16" s="83">
        <v>0</v>
      </c>
      <c r="L16" s="83">
        <v>2</v>
      </c>
      <c r="M16" s="83">
        <v>3</v>
      </c>
      <c r="N16" s="83">
        <v>2</v>
      </c>
      <c r="O16" s="83">
        <v>0</v>
      </c>
      <c r="P16" s="83">
        <v>4</v>
      </c>
      <c r="Q16" s="83">
        <v>0</v>
      </c>
      <c r="R16" s="83">
        <v>0</v>
      </c>
      <c r="S16" s="83">
        <v>0</v>
      </c>
      <c r="T16">
        <v>0</v>
      </c>
    </row>
    <row r="17" spans="1:20" x14ac:dyDescent="0.35">
      <c r="A17" s="81" t="s">
        <v>92</v>
      </c>
      <c r="B17" s="82" t="s">
        <v>145</v>
      </c>
      <c r="C17" s="81">
        <v>0</v>
      </c>
      <c r="D17" s="81">
        <v>3</v>
      </c>
      <c r="E17" s="81">
        <v>0</v>
      </c>
      <c r="F17" s="81">
        <v>0</v>
      </c>
      <c r="G17" s="81">
        <v>0</v>
      </c>
      <c r="H17" s="81">
        <v>0</v>
      </c>
      <c r="I17" s="81">
        <v>0</v>
      </c>
      <c r="J17" s="81">
        <v>5</v>
      </c>
      <c r="K17" s="81">
        <v>0</v>
      </c>
      <c r="L17" s="81">
        <v>0</v>
      </c>
      <c r="M17" s="81">
        <v>2</v>
      </c>
      <c r="N17" s="81">
        <v>3</v>
      </c>
      <c r="O17" s="81">
        <v>0</v>
      </c>
      <c r="P17" s="81">
        <v>3</v>
      </c>
      <c r="Q17" s="81">
        <v>0</v>
      </c>
      <c r="R17" s="81">
        <v>0</v>
      </c>
      <c r="S17" s="81">
        <v>0</v>
      </c>
      <c r="T17">
        <v>0</v>
      </c>
    </row>
    <row r="18" spans="1:20" x14ac:dyDescent="0.35">
      <c r="A18" s="83" t="s">
        <v>89</v>
      </c>
      <c r="B18" s="84" t="s">
        <v>143</v>
      </c>
      <c r="C18" s="83">
        <v>1</v>
      </c>
      <c r="D18" s="83">
        <v>3</v>
      </c>
      <c r="E18" s="83">
        <v>0</v>
      </c>
      <c r="F18" s="83">
        <v>0</v>
      </c>
      <c r="G18" s="83">
        <v>2</v>
      </c>
      <c r="H18" s="83">
        <v>0</v>
      </c>
      <c r="I18" s="83">
        <v>0</v>
      </c>
      <c r="J18" s="83">
        <v>1</v>
      </c>
      <c r="K18" s="83">
        <v>0</v>
      </c>
      <c r="L18" s="83">
        <v>1</v>
      </c>
      <c r="M18" s="83">
        <v>2</v>
      </c>
      <c r="N18" s="83">
        <v>1</v>
      </c>
      <c r="O18" s="83">
        <v>1</v>
      </c>
      <c r="P18" s="83">
        <v>3</v>
      </c>
      <c r="Q18" s="83">
        <v>0</v>
      </c>
      <c r="R18" s="83">
        <v>0</v>
      </c>
      <c r="S18" s="83">
        <v>1</v>
      </c>
      <c r="T18">
        <v>0</v>
      </c>
    </row>
    <row r="19" spans="1:20" x14ac:dyDescent="0.35">
      <c r="A19" s="81" t="s">
        <v>90</v>
      </c>
      <c r="B19" s="82" t="s">
        <v>143</v>
      </c>
      <c r="C19" s="81">
        <v>1</v>
      </c>
      <c r="D19" s="81">
        <v>2</v>
      </c>
      <c r="E19" s="81">
        <v>0</v>
      </c>
      <c r="F19" s="81">
        <v>1</v>
      </c>
      <c r="G19" s="81">
        <v>2</v>
      </c>
      <c r="H19" s="81">
        <v>0</v>
      </c>
      <c r="I19" s="81">
        <v>0</v>
      </c>
      <c r="J19" s="81">
        <v>4</v>
      </c>
      <c r="K19" s="81">
        <v>0</v>
      </c>
      <c r="L19" s="81">
        <v>0</v>
      </c>
      <c r="M19" s="81">
        <v>2</v>
      </c>
      <c r="N19" s="81">
        <v>2</v>
      </c>
      <c r="O19" s="81">
        <v>0</v>
      </c>
      <c r="P19" s="81">
        <v>1</v>
      </c>
      <c r="Q19" s="81">
        <v>0</v>
      </c>
      <c r="R19" s="81">
        <v>1</v>
      </c>
      <c r="S19" s="81">
        <v>2</v>
      </c>
      <c r="T19">
        <v>0</v>
      </c>
    </row>
    <row r="20" spans="1:20" x14ac:dyDescent="0.35">
      <c r="A20" s="84" t="s">
        <v>79</v>
      </c>
      <c r="B20" s="84" t="s">
        <v>138</v>
      </c>
      <c r="C20" s="84">
        <v>1</v>
      </c>
      <c r="D20" s="84">
        <v>4</v>
      </c>
      <c r="E20" s="84">
        <v>0</v>
      </c>
      <c r="F20" s="84">
        <v>0</v>
      </c>
      <c r="G20" s="84">
        <v>1</v>
      </c>
      <c r="H20" s="84">
        <v>0</v>
      </c>
      <c r="I20" s="84">
        <v>0</v>
      </c>
      <c r="J20" s="84">
        <v>1</v>
      </c>
      <c r="K20" s="84">
        <v>2</v>
      </c>
      <c r="L20" s="84">
        <v>3</v>
      </c>
      <c r="M20" s="84">
        <v>2</v>
      </c>
      <c r="N20" s="84">
        <v>1</v>
      </c>
      <c r="O20" s="84">
        <v>1</v>
      </c>
      <c r="P20" s="84">
        <v>4</v>
      </c>
      <c r="Q20" s="84">
        <v>0</v>
      </c>
      <c r="R20" s="84">
        <v>0</v>
      </c>
      <c r="S20" s="84">
        <v>2</v>
      </c>
      <c r="T20">
        <v>0</v>
      </c>
    </row>
    <row r="21" spans="1:20" x14ac:dyDescent="0.35">
      <c r="A21" s="82" t="s">
        <v>80</v>
      </c>
      <c r="B21" s="82" t="s">
        <v>138</v>
      </c>
      <c r="C21" s="82">
        <v>3</v>
      </c>
      <c r="D21" s="82">
        <v>2</v>
      </c>
      <c r="E21" s="82">
        <v>0</v>
      </c>
      <c r="F21" s="82">
        <v>1</v>
      </c>
      <c r="G21" s="82">
        <v>0</v>
      </c>
      <c r="H21" s="82">
        <v>0</v>
      </c>
      <c r="I21" s="82">
        <v>0</v>
      </c>
      <c r="J21" s="82">
        <v>3</v>
      </c>
      <c r="K21" s="82">
        <v>1</v>
      </c>
      <c r="L21" s="82">
        <v>1</v>
      </c>
      <c r="M21" s="82">
        <v>3</v>
      </c>
      <c r="N21" s="82">
        <v>2</v>
      </c>
      <c r="O21" s="82">
        <v>3</v>
      </c>
      <c r="P21" s="82">
        <v>2</v>
      </c>
      <c r="Q21" s="82">
        <v>0</v>
      </c>
      <c r="R21" s="82">
        <v>1</v>
      </c>
      <c r="S21" s="82">
        <v>1</v>
      </c>
      <c r="T21">
        <v>0</v>
      </c>
    </row>
    <row r="22" spans="1:20" x14ac:dyDescent="0.35">
      <c r="A22" s="83" t="s">
        <v>77</v>
      </c>
      <c r="B22" s="84" t="s">
        <v>121</v>
      </c>
      <c r="C22" s="83">
        <v>3</v>
      </c>
      <c r="D22" s="83">
        <v>0</v>
      </c>
      <c r="E22" s="83">
        <v>0</v>
      </c>
      <c r="F22" s="83">
        <v>4</v>
      </c>
      <c r="G22" s="83">
        <v>0</v>
      </c>
      <c r="H22" s="83">
        <v>0</v>
      </c>
      <c r="I22" s="83">
        <v>0</v>
      </c>
      <c r="J22" s="83">
        <v>1</v>
      </c>
      <c r="K22" s="83">
        <v>0</v>
      </c>
      <c r="L22" s="83">
        <v>2</v>
      </c>
      <c r="M22" s="83">
        <v>3</v>
      </c>
      <c r="N22" s="83">
        <v>3</v>
      </c>
      <c r="O22" s="83">
        <v>2</v>
      </c>
      <c r="P22" s="83">
        <v>0</v>
      </c>
      <c r="Q22" s="83">
        <v>0</v>
      </c>
      <c r="R22" s="83">
        <v>4</v>
      </c>
      <c r="S22" s="83">
        <v>0</v>
      </c>
      <c r="T22">
        <v>0</v>
      </c>
    </row>
    <row r="23" spans="1:20" x14ac:dyDescent="0.35">
      <c r="A23" s="81" t="s">
        <v>78</v>
      </c>
      <c r="B23" s="82" t="s">
        <v>121</v>
      </c>
      <c r="C23" s="81">
        <v>2</v>
      </c>
      <c r="D23" s="81">
        <v>0</v>
      </c>
      <c r="E23" s="81">
        <v>0</v>
      </c>
      <c r="F23" s="81">
        <v>3</v>
      </c>
      <c r="G23" s="81">
        <v>0</v>
      </c>
      <c r="H23" s="81">
        <v>0</v>
      </c>
      <c r="I23" s="81">
        <v>0</v>
      </c>
      <c r="J23" s="81">
        <v>3</v>
      </c>
      <c r="K23" s="81">
        <v>0</v>
      </c>
      <c r="L23" s="81">
        <v>1</v>
      </c>
      <c r="M23" s="81">
        <v>3</v>
      </c>
      <c r="N23" s="81">
        <v>3</v>
      </c>
      <c r="O23" s="81">
        <v>1</v>
      </c>
      <c r="P23" s="81">
        <v>0</v>
      </c>
      <c r="Q23" s="81">
        <v>0</v>
      </c>
      <c r="R23" s="81">
        <v>3</v>
      </c>
      <c r="S23" s="81">
        <v>0</v>
      </c>
      <c r="T23">
        <v>0</v>
      </c>
    </row>
    <row r="24" spans="1:20" x14ac:dyDescent="0.35">
      <c r="A24" s="84" t="s">
        <v>85</v>
      </c>
      <c r="B24" s="84" t="s">
        <v>141</v>
      </c>
      <c r="C24" s="84">
        <v>0</v>
      </c>
      <c r="D24" s="84">
        <v>1</v>
      </c>
      <c r="E24" s="84">
        <v>0</v>
      </c>
      <c r="F24" s="84">
        <v>0</v>
      </c>
      <c r="G24" s="84">
        <v>0</v>
      </c>
      <c r="H24" s="84">
        <v>0</v>
      </c>
      <c r="I24" s="84">
        <v>0</v>
      </c>
      <c r="J24" s="84">
        <v>1</v>
      </c>
      <c r="K24" s="84">
        <v>1</v>
      </c>
      <c r="L24" s="84">
        <v>0</v>
      </c>
      <c r="M24" s="84">
        <v>3</v>
      </c>
      <c r="N24" s="84">
        <v>1</v>
      </c>
      <c r="O24" s="84">
        <v>0</v>
      </c>
      <c r="P24" s="84">
        <v>1</v>
      </c>
      <c r="Q24" s="84">
        <v>0</v>
      </c>
      <c r="R24" s="84">
        <v>0</v>
      </c>
      <c r="S24" s="84">
        <v>0</v>
      </c>
      <c r="T24">
        <v>0</v>
      </c>
    </row>
    <row r="25" spans="1:20" x14ac:dyDescent="0.35">
      <c r="A25" s="82" t="s">
        <v>86</v>
      </c>
      <c r="B25" s="82" t="s">
        <v>141</v>
      </c>
      <c r="C25" s="82">
        <v>0</v>
      </c>
      <c r="D25" s="82">
        <v>1</v>
      </c>
      <c r="E25" s="82">
        <v>0</v>
      </c>
      <c r="F25" s="82">
        <v>0</v>
      </c>
      <c r="G25" s="82">
        <v>0</v>
      </c>
      <c r="H25" s="82">
        <v>0</v>
      </c>
      <c r="I25" s="82">
        <v>0</v>
      </c>
      <c r="J25" s="82">
        <v>2</v>
      </c>
      <c r="K25" s="82">
        <v>1</v>
      </c>
      <c r="L25" s="82">
        <v>0</v>
      </c>
      <c r="M25" s="82">
        <v>4</v>
      </c>
      <c r="N25" s="82">
        <v>1</v>
      </c>
      <c r="O25" s="82">
        <v>0</v>
      </c>
      <c r="P25" s="82">
        <v>1</v>
      </c>
      <c r="Q25" s="82">
        <v>0</v>
      </c>
      <c r="R25" s="82">
        <v>0</v>
      </c>
      <c r="S25" s="82">
        <v>0</v>
      </c>
      <c r="T25">
        <v>0</v>
      </c>
    </row>
    <row r="26" spans="1:20" x14ac:dyDescent="0.35">
      <c r="A26" s="84" t="s">
        <v>83</v>
      </c>
      <c r="B26" s="84" t="s">
        <v>140</v>
      </c>
      <c r="C26" s="84">
        <v>1</v>
      </c>
      <c r="D26" s="84">
        <v>3</v>
      </c>
      <c r="E26" s="84">
        <v>0</v>
      </c>
      <c r="F26" s="84">
        <v>0</v>
      </c>
      <c r="G26" s="84">
        <v>0</v>
      </c>
      <c r="H26" s="84">
        <v>0</v>
      </c>
      <c r="I26" s="84">
        <v>0</v>
      </c>
      <c r="J26" s="84">
        <v>1</v>
      </c>
      <c r="K26" s="84">
        <v>2</v>
      </c>
      <c r="L26" s="84">
        <v>1</v>
      </c>
      <c r="M26" s="84">
        <v>2</v>
      </c>
      <c r="N26" s="84">
        <v>1</v>
      </c>
      <c r="O26" s="84">
        <v>0</v>
      </c>
      <c r="P26" s="84">
        <v>3</v>
      </c>
      <c r="Q26" s="84">
        <v>0</v>
      </c>
      <c r="R26" s="84">
        <v>0</v>
      </c>
      <c r="S26" s="84">
        <v>0</v>
      </c>
      <c r="T26">
        <v>0</v>
      </c>
    </row>
    <row r="27" spans="1:20" x14ac:dyDescent="0.35">
      <c r="A27" s="82" t="s">
        <v>84</v>
      </c>
      <c r="B27" s="82" t="s">
        <v>140</v>
      </c>
      <c r="C27" s="82">
        <v>1</v>
      </c>
      <c r="D27" s="82">
        <v>2</v>
      </c>
      <c r="E27" s="82">
        <v>0</v>
      </c>
      <c r="F27" s="82">
        <v>0</v>
      </c>
      <c r="G27" s="82">
        <v>0</v>
      </c>
      <c r="H27" s="82">
        <v>0</v>
      </c>
      <c r="I27" s="82">
        <v>1</v>
      </c>
      <c r="J27" s="82">
        <v>3</v>
      </c>
      <c r="K27" s="82">
        <v>0</v>
      </c>
      <c r="L27" s="82">
        <v>0</v>
      </c>
      <c r="M27" s="82">
        <v>1</v>
      </c>
      <c r="N27" s="82">
        <v>2</v>
      </c>
      <c r="O27" s="82">
        <v>1</v>
      </c>
      <c r="P27" s="82">
        <v>2</v>
      </c>
      <c r="Q27" s="82">
        <v>0</v>
      </c>
      <c r="R27" s="82">
        <v>0</v>
      </c>
      <c r="S27" s="82">
        <v>0</v>
      </c>
      <c r="T27">
        <v>0</v>
      </c>
    </row>
    <row r="28" spans="1:20" x14ac:dyDescent="0.35">
      <c r="A28" s="83" t="s">
        <v>107</v>
      </c>
      <c r="B28" s="84" t="s">
        <v>146</v>
      </c>
      <c r="C28" s="83">
        <v>2</v>
      </c>
      <c r="D28" s="83">
        <v>2</v>
      </c>
      <c r="E28" s="83">
        <v>0</v>
      </c>
      <c r="F28" s="83">
        <v>0</v>
      </c>
      <c r="G28" s="83">
        <v>0</v>
      </c>
      <c r="H28" s="83">
        <v>0</v>
      </c>
      <c r="I28" s="83">
        <v>0</v>
      </c>
      <c r="J28" s="83">
        <v>0</v>
      </c>
      <c r="K28" s="83">
        <v>0</v>
      </c>
      <c r="L28" s="83">
        <v>3</v>
      </c>
      <c r="M28" s="83">
        <v>3</v>
      </c>
      <c r="N28" s="83">
        <v>2</v>
      </c>
      <c r="O28" s="83">
        <v>2</v>
      </c>
      <c r="P28" s="83">
        <v>2</v>
      </c>
      <c r="Q28" s="83">
        <v>0</v>
      </c>
      <c r="R28" s="83">
        <v>1</v>
      </c>
      <c r="S28" s="83">
        <v>0</v>
      </c>
      <c r="T28">
        <v>0</v>
      </c>
    </row>
    <row r="29" spans="1:20" x14ac:dyDescent="0.35">
      <c r="A29" s="81" t="s">
        <v>95</v>
      </c>
      <c r="B29" s="82" t="s">
        <v>146</v>
      </c>
      <c r="C29" s="81">
        <v>2</v>
      </c>
      <c r="D29" s="81">
        <v>2</v>
      </c>
      <c r="E29" s="81">
        <v>0</v>
      </c>
      <c r="F29" s="81">
        <v>0</v>
      </c>
      <c r="G29" s="81">
        <v>0</v>
      </c>
      <c r="H29" s="81">
        <v>0</v>
      </c>
      <c r="I29" s="81">
        <v>0</v>
      </c>
      <c r="J29" s="81">
        <v>4</v>
      </c>
      <c r="K29" s="81">
        <v>0</v>
      </c>
      <c r="L29" s="81">
        <v>1</v>
      </c>
      <c r="M29" s="81">
        <v>3</v>
      </c>
      <c r="N29" s="81">
        <v>3</v>
      </c>
      <c r="O29" s="81">
        <v>2</v>
      </c>
      <c r="P29" s="81">
        <v>1</v>
      </c>
      <c r="Q29" s="81">
        <v>0</v>
      </c>
      <c r="R29" s="81">
        <v>2</v>
      </c>
      <c r="S29" s="81">
        <v>0</v>
      </c>
      <c r="T29">
        <v>0</v>
      </c>
    </row>
    <row r="30" spans="1:20" x14ac:dyDescent="0.35">
      <c r="A30" s="83" t="s">
        <v>93</v>
      </c>
      <c r="B30" s="84" t="s">
        <v>144</v>
      </c>
      <c r="C30" s="83">
        <v>2</v>
      </c>
      <c r="D30" s="83">
        <v>2</v>
      </c>
      <c r="E30" s="83">
        <v>0</v>
      </c>
      <c r="F30" s="83">
        <v>0</v>
      </c>
      <c r="G30" s="83">
        <v>2</v>
      </c>
      <c r="H30" s="83">
        <v>0</v>
      </c>
      <c r="I30" s="83">
        <v>0</v>
      </c>
      <c r="J30" s="83">
        <v>1</v>
      </c>
      <c r="K30" s="83">
        <v>0</v>
      </c>
      <c r="L30" s="83">
        <v>1</v>
      </c>
      <c r="M30" s="83">
        <v>4</v>
      </c>
      <c r="N30" s="83">
        <v>2</v>
      </c>
      <c r="O30" s="83">
        <v>2</v>
      </c>
      <c r="P30" s="83">
        <v>0</v>
      </c>
      <c r="Q30" s="83">
        <v>0</v>
      </c>
      <c r="R30" s="83">
        <v>2</v>
      </c>
      <c r="S30" s="83">
        <v>1</v>
      </c>
      <c r="T30">
        <v>0</v>
      </c>
    </row>
    <row r="31" spans="1:20" x14ac:dyDescent="0.35">
      <c r="A31" s="81" t="s">
        <v>94</v>
      </c>
      <c r="B31" s="82" t="s">
        <v>144</v>
      </c>
      <c r="C31" s="81">
        <v>1</v>
      </c>
      <c r="D31" s="81">
        <v>1</v>
      </c>
      <c r="E31" s="81">
        <v>0</v>
      </c>
      <c r="F31" s="81">
        <v>0</v>
      </c>
      <c r="G31" s="81">
        <v>1</v>
      </c>
      <c r="H31" s="81">
        <v>0</v>
      </c>
      <c r="I31" s="81">
        <v>0</v>
      </c>
      <c r="J31" s="81">
        <v>5</v>
      </c>
      <c r="K31" s="81">
        <v>0</v>
      </c>
      <c r="L31" s="81">
        <v>0</v>
      </c>
      <c r="M31" s="81">
        <v>3</v>
      </c>
      <c r="N31" s="81">
        <v>3</v>
      </c>
      <c r="O31" s="81">
        <v>1</v>
      </c>
      <c r="P31" s="81">
        <v>0</v>
      </c>
      <c r="Q31" s="81">
        <v>0</v>
      </c>
      <c r="R31" s="81">
        <v>3</v>
      </c>
      <c r="S31" s="81">
        <v>1</v>
      </c>
      <c r="T31">
        <v>0</v>
      </c>
    </row>
    <row r="32" spans="1:20" x14ac:dyDescent="0.35">
      <c r="A32" s="83" t="s">
        <v>6</v>
      </c>
      <c r="B32" s="84" t="s">
        <v>122</v>
      </c>
      <c r="C32" s="83">
        <v>4</v>
      </c>
      <c r="D32" s="83">
        <v>2</v>
      </c>
      <c r="E32" s="83">
        <v>1</v>
      </c>
      <c r="F32" s="83">
        <v>0</v>
      </c>
      <c r="G32" s="83">
        <v>0</v>
      </c>
      <c r="H32" s="83">
        <v>0</v>
      </c>
      <c r="I32" s="83">
        <v>1</v>
      </c>
      <c r="J32" s="83">
        <v>1</v>
      </c>
      <c r="K32" s="83">
        <v>0</v>
      </c>
      <c r="L32" s="83">
        <v>3</v>
      </c>
      <c r="M32" s="83">
        <v>5</v>
      </c>
      <c r="N32" s="83">
        <v>3</v>
      </c>
      <c r="O32" s="83">
        <v>5</v>
      </c>
      <c r="P32" s="83">
        <v>1</v>
      </c>
      <c r="Q32" s="83">
        <v>2</v>
      </c>
      <c r="R32" s="83">
        <v>0</v>
      </c>
      <c r="S32" s="83">
        <v>1</v>
      </c>
      <c r="T32">
        <v>0</v>
      </c>
    </row>
    <row r="33" spans="1:20" x14ac:dyDescent="0.35">
      <c r="A33" s="81" t="s">
        <v>7</v>
      </c>
      <c r="B33" s="82" t="s">
        <v>122</v>
      </c>
      <c r="C33" s="81">
        <v>3</v>
      </c>
      <c r="D33" s="81">
        <v>3</v>
      </c>
      <c r="E33" s="81">
        <v>0</v>
      </c>
      <c r="F33" s="81">
        <v>0</v>
      </c>
      <c r="G33" s="81">
        <v>2</v>
      </c>
      <c r="H33" s="81">
        <v>0</v>
      </c>
      <c r="I33" s="81">
        <v>0</v>
      </c>
      <c r="J33" s="81">
        <v>4</v>
      </c>
      <c r="K33" s="81">
        <v>0</v>
      </c>
      <c r="L33" s="81">
        <v>2</v>
      </c>
      <c r="M33" s="81">
        <v>4</v>
      </c>
      <c r="N33" s="81">
        <v>4</v>
      </c>
      <c r="O33" s="81">
        <v>2</v>
      </c>
      <c r="P33" s="81">
        <v>3</v>
      </c>
      <c r="Q33" s="81">
        <v>1</v>
      </c>
      <c r="R33" s="81">
        <v>0</v>
      </c>
      <c r="S33" s="81">
        <v>2</v>
      </c>
      <c r="T3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185EE-B2AF-4C54-BEE9-203769BCFCA2}">
  <dimension ref="A1:T17"/>
  <sheetViews>
    <sheetView workbookViewId="0">
      <selection activeCell="P30" sqref="P30"/>
    </sheetView>
  </sheetViews>
  <sheetFormatPr defaultRowHeight="14.5" x14ac:dyDescent="0.35"/>
  <cols>
    <col min="1" max="1" width="13.1796875" bestFit="1" customWidth="1"/>
    <col min="2" max="2" width="22.7265625" bestFit="1" customWidth="1"/>
    <col min="3" max="3" width="9.7265625" bestFit="1" customWidth="1"/>
  </cols>
  <sheetData>
    <row r="1" spans="1:20" x14ac:dyDescent="0.35">
      <c r="A1" t="s">
        <v>111</v>
      </c>
      <c r="B1" t="s">
        <v>112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  <c r="H1" t="s">
        <v>157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158</v>
      </c>
      <c r="P1" t="s">
        <v>159</v>
      </c>
      <c r="Q1" t="s">
        <v>160</v>
      </c>
      <c r="R1" t="s">
        <v>161</v>
      </c>
      <c r="S1" t="s">
        <v>162</v>
      </c>
      <c r="T1" t="s">
        <v>163</v>
      </c>
    </row>
    <row r="2" spans="1:20" x14ac:dyDescent="0.35">
      <c r="A2" t="s">
        <v>11</v>
      </c>
      <c r="B2" t="s">
        <v>124</v>
      </c>
      <c r="C2">
        <v>5</v>
      </c>
      <c r="D2">
        <v>1</v>
      </c>
      <c r="E2">
        <v>2</v>
      </c>
      <c r="F2">
        <v>0</v>
      </c>
      <c r="G2">
        <v>1</v>
      </c>
      <c r="H2">
        <v>0</v>
      </c>
      <c r="I2">
        <v>0</v>
      </c>
      <c r="J2">
        <v>1</v>
      </c>
      <c r="K2">
        <v>0</v>
      </c>
      <c r="L2">
        <v>4</v>
      </c>
      <c r="M2">
        <v>4</v>
      </c>
      <c r="N2">
        <v>2</v>
      </c>
      <c r="O2">
        <v>5</v>
      </c>
      <c r="P2">
        <v>0</v>
      </c>
      <c r="Q2">
        <v>3</v>
      </c>
      <c r="R2">
        <v>0</v>
      </c>
      <c r="S2">
        <v>2</v>
      </c>
      <c r="T2">
        <v>0</v>
      </c>
    </row>
    <row r="3" spans="1:20" x14ac:dyDescent="0.35">
      <c r="A3" t="s">
        <v>8</v>
      </c>
      <c r="B3" t="s">
        <v>123</v>
      </c>
      <c r="C3">
        <v>4</v>
      </c>
      <c r="D3">
        <v>2</v>
      </c>
      <c r="E3">
        <v>0</v>
      </c>
      <c r="F3">
        <v>0</v>
      </c>
      <c r="G3">
        <v>2</v>
      </c>
      <c r="H3">
        <v>0</v>
      </c>
      <c r="I3">
        <v>2</v>
      </c>
      <c r="J3">
        <v>2</v>
      </c>
      <c r="K3">
        <v>1</v>
      </c>
      <c r="L3">
        <v>3</v>
      </c>
      <c r="M3">
        <v>2</v>
      </c>
      <c r="N3">
        <v>1</v>
      </c>
      <c r="O3">
        <v>4</v>
      </c>
      <c r="P3">
        <v>1</v>
      </c>
      <c r="Q3">
        <v>0</v>
      </c>
      <c r="R3">
        <v>0</v>
      </c>
      <c r="S3">
        <v>3</v>
      </c>
      <c r="T3">
        <v>0</v>
      </c>
    </row>
    <row r="4" spans="1:20" x14ac:dyDescent="0.35">
      <c r="A4" t="s">
        <v>87</v>
      </c>
      <c r="B4" t="s">
        <v>142</v>
      </c>
      <c r="C4">
        <v>0</v>
      </c>
      <c r="D4">
        <v>1</v>
      </c>
      <c r="E4">
        <v>0</v>
      </c>
      <c r="F4">
        <v>0</v>
      </c>
      <c r="G4">
        <v>3</v>
      </c>
      <c r="H4">
        <v>0</v>
      </c>
      <c r="I4">
        <v>1</v>
      </c>
      <c r="J4">
        <v>0</v>
      </c>
      <c r="K4">
        <v>0</v>
      </c>
      <c r="L4">
        <v>2</v>
      </c>
      <c r="M4">
        <v>3</v>
      </c>
      <c r="N4">
        <v>2</v>
      </c>
      <c r="O4">
        <v>0</v>
      </c>
      <c r="P4">
        <v>2</v>
      </c>
      <c r="Q4">
        <v>0</v>
      </c>
      <c r="R4">
        <v>1</v>
      </c>
      <c r="S4">
        <v>2</v>
      </c>
      <c r="T4">
        <v>0</v>
      </c>
    </row>
    <row r="5" spans="1:20" x14ac:dyDescent="0.35">
      <c r="A5" t="s">
        <v>73</v>
      </c>
      <c r="B5" t="s">
        <v>119</v>
      </c>
      <c r="C5">
        <v>2</v>
      </c>
      <c r="D5">
        <v>5</v>
      </c>
      <c r="E5">
        <v>0</v>
      </c>
      <c r="F5">
        <v>0</v>
      </c>
      <c r="G5">
        <v>0</v>
      </c>
      <c r="H5">
        <v>0</v>
      </c>
      <c r="I5">
        <v>0</v>
      </c>
      <c r="J5">
        <v>2</v>
      </c>
      <c r="K5">
        <v>1</v>
      </c>
      <c r="L5">
        <v>0</v>
      </c>
      <c r="M5">
        <v>2</v>
      </c>
      <c r="N5">
        <v>2</v>
      </c>
      <c r="O5">
        <v>1</v>
      </c>
      <c r="P5">
        <v>4</v>
      </c>
      <c r="Q5">
        <v>0</v>
      </c>
      <c r="R5">
        <v>0</v>
      </c>
      <c r="S5">
        <v>1</v>
      </c>
      <c r="T5">
        <v>0</v>
      </c>
    </row>
    <row r="6" spans="1:20" x14ac:dyDescent="0.35">
      <c r="A6" t="s">
        <v>4</v>
      </c>
      <c r="B6" t="s">
        <v>125</v>
      </c>
      <c r="C6">
        <v>1</v>
      </c>
      <c r="D6">
        <v>4</v>
      </c>
      <c r="E6">
        <v>0</v>
      </c>
      <c r="F6">
        <v>0</v>
      </c>
      <c r="G6">
        <v>0</v>
      </c>
      <c r="H6">
        <v>0</v>
      </c>
      <c r="I6">
        <v>0</v>
      </c>
      <c r="J6">
        <v>2</v>
      </c>
      <c r="K6">
        <v>2</v>
      </c>
      <c r="L6">
        <v>1</v>
      </c>
      <c r="M6">
        <v>1</v>
      </c>
      <c r="N6">
        <v>1</v>
      </c>
      <c r="O6">
        <v>1</v>
      </c>
      <c r="P6">
        <v>5</v>
      </c>
      <c r="Q6">
        <v>1</v>
      </c>
      <c r="R6">
        <v>0</v>
      </c>
      <c r="S6">
        <v>0</v>
      </c>
      <c r="T6">
        <v>0</v>
      </c>
    </row>
    <row r="7" spans="1:20" x14ac:dyDescent="0.35">
      <c r="A7" t="s">
        <v>75</v>
      </c>
      <c r="B7" t="s">
        <v>120</v>
      </c>
      <c r="C7">
        <v>4</v>
      </c>
      <c r="D7">
        <v>1</v>
      </c>
      <c r="E7">
        <v>0</v>
      </c>
      <c r="F7">
        <v>0</v>
      </c>
      <c r="G7">
        <v>1</v>
      </c>
      <c r="H7">
        <v>1</v>
      </c>
      <c r="I7">
        <v>0</v>
      </c>
      <c r="J7">
        <v>1</v>
      </c>
      <c r="K7">
        <v>1</v>
      </c>
      <c r="L7">
        <v>0</v>
      </c>
      <c r="M7">
        <v>2</v>
      </c>
      <c r="N7">
        <v>2</v>
      </c>
      <c r="O7">
        <v>2</v>
      </c>
      <c r="P7">
        <v>1</v>
      </c>
      <c r="Q7">
        <v>0</v>
      </c>
      <c r="R7">
        <v>0</v>
      </c>
      <c r="S7">
        <v>1</v>
      </c>
      <c r="T7">
        <v>2</v>
      </c>
    </row>
    <row r="8" spans="1:20" x14ac:dyDescent="0.35">
      <c r="A8" t="s">
        <v>81</v>
      </c>
      <c r="B8" t="s">
        <v>139</v>
      </c>
      <c r="C8">
        <v>1</v>
      </c>
      <c r="D8">
        <v>2</v>
      </c>
      <c r="E8">
        <v>0</v>
      </c>
      <c r="F8">
        <v>1</v>
      </c>
      <c r="G8">
        <v>0</v>
      </c>
      <c r="H8">
        <v>0</v>
      </c>
      <c r="I8">
        <v>0</v>
      </c>
      <c r="J8">
        <v>1</v>
      </c>
      <c r="K8">
        <v>1</v>
      </c>
      <c r="L8">
        <v>1</v>
      </c>
      <c r="M8">
        <v>2</v>
      </c>
      <c r="N8">
        <v>1</v>
      </c>
      <c r="O8">
        <v>1</v>
      </c>
      <c r="P8">
        <v>1</v>
      </c>
      <c r="Q8">
        <v>0</v>
      </c>
      <c r="R8">
        <v>1</v>
      </c>
      <c r="S8">
        <v>0</v>
      </c>
      <c r="T8">
        <v>0</v>
      </c>
    </row>
    <row r="9" spans="1:20" x14ac:dyDescent="0.35">
      <c r="A9" t="s">
        <v>91</v>
      </c>
      <c r="B9" t="s">
        <v>145</v>
      </c>
      <c r="C9">
        <v>0</v>
      </c>
      <c r="D9">
        <v>4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2</v>
      </c>
      <c r="M9">
        <v>3</v>
      </c>
      <c r="N9">
        <v>2</v>
      </c>
      <c r="O9">
        <v>0</v>
      </c>
      <c r="P9">
        <v>4</v>
      </c>
      <c r="Q9">
        <v>0</v>
      </c>
      <c r="R9">
        <v>0</v>
      </c>
      <c r="S9">
        <v>0</v>
      </c>
      <c r="T9">
        <v>0</v>
      </c>
    </row>
    <row r="10" spans="1:20" x14ac:dyDescent="0.35">
      <c r="A10" t="s">
        <v>89</v>
      </c>
      <c r="B10" t="s">
        <v>143</v>
      </c>
      <c r="C10">
        <v>1</v>
      </c>
      <c r="D10">
        <v>3</v>
      </c>
      <c r="E10">
        <v>0</v>
      </c>
      <c r="F10">
        <v>0</v>
      </c>
      <c r="G10">
        <v>2</v>
      </c>
      <c r="H10">
        <v>0</v>
      </c>
      <c r="I10">
        <v>0</v>
      </c>
      <c r="J10">
        <v>1</v>
      </c>
      <c r="K10">
        <v>0</v>
      </c>
      <c r="L10">
        <v>1</v>
      </c>
      <c r="M10">
        <v>2</v>
      </c>
      <c r="N10">
        <v>1</v>
      </c>
      <c r="O10">
        <v>1</v>
      </c>
      <c r="P10">
        <v>3</v>
      </c>
      <c r="Q10">
        <v>0</v>
      </c>
      <c r="R10">
        <v>0</v>
      </c>
      <c r="S10">
        <v>1</v>
      </c>
      <c r="T10">
        <v>0</v>
      </c>
    </row>
    <row r="11" spans="1:20" x14ac:dyDescent="0.35">
      <c r="A11" t="s">
        <v>79</v>
      </c>
      <c r="B11" t="s">
        <v>138</v>
      </c>
      <c r="C11">
        <v>1</v>
      </c>
      <c r="D11">
        <v>4</v>
      </c>
      <c r="E11">
        <v>0</v>
      </c>
      <c r="F11">
        <v>0</v>
      </c>
      <c r="G11">
        <v>1</v>
      </c>
      <c r="H11">
        <v>0</v>
      </c>
      <c r="I11">
        <v>0</v>
      </c>
      <c r="J11">
        <v>1</v>
      </c>
      <c r="K11">
        <v>2</v>
      </c>
      <c r="L11">
        <v>3</v>
      </c>
      <c r="M11">
        <v>2</v>
      </c>
      <c r="N11">
        <v>1</v>
      </c>
      <c r="O11">
        <v>1</v>
      </c>
      <c r="P11">
        <v>4</v>
      </c>
      <c r="Q11">
        <v>0</v>
      </c>
      <c r="R11">
        <v>0</v>
      </c>
      <c r="S11">
        <v>2</v>
      </c>
      <c r="T11">
        <v>0</v>
      </c>
    </row>
    <row r="12" spans="1:20" x14ac:dyDescent="0.35">
      <c r="A12" t="s">
        <v>77</v>
      </c>
      <c r="B12" t="s">
        <v>121</v>
      </c>
      <c r="C12">
        <v>3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  <c r="J12">
        <v>1</v>
      </c>
      <c r="K12">
        <v>0</v>
      </c>
      <c r="L12">
        <v>2</v>
      </c>
      <c r="M12">
        <v>3</v>
      </c>
      <c r="N12">
        <v>3</v>
      </c>
      <c r="O12">
        <v>2</v>
      </c>
      <c r="P12">
        <v>0</v>
      </c>
      <c r="Q12">
        <v>0</v>
      </c>
      <c r="R12">
        <v>4</v>
      </c>
      <c r="S12">
        <v>0</v>
      </c>
      <c r="T12">
        <v>0</v>
      </c>
    </row>
    <row r="13" spans="1:20" x14ac:dyDescent="0.35">
      <c r="A13" t="s">
        <v>85</v>
      </c>
      <c r="B13" t="s">
        <v>141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0</v>
      </c>
      <c r="M13">
        <v>3</v>
      </c>
      <c r="N13">
        <v>1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</row>
    <row r="14" spans="1:20" x14ac:dyDescent="0.35">
      <c r="A14" t="s">
        <v>83</v>
      </c>
      <c r="B14" t="s">
        <v>140</v>
      </c>
      <c r="C14">
        <v>1</v>
      </c>
      <c r="D14">
        <v>3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2</v>
      </c>
      <c r="L14">
        <v>1</v>
      </c>
      <c r="M14">
        <v>2</v>
      </c>
      <c r="N14">
        <v>1</v>
      </c>
      <c r="O14">
        <v>0</v>
      </c>
      <c r="P14">
        <v>3</v>
      </c>
      <c r="Q14">
        <v>0</v>
      </c>
      <c r="R14">
        <v>0</v>
      </c>
      <c r="S14">
        <v>0</v>
      </c>
      <c r="T14">
        <v>0</v>
      </c>
    </row>
    <row r="15" spans="1:20" x14ac:dyDescent="0.35">
      <c r="A15" t="s">
        <v>107</v>
      </c>
      <c r="B15" t="s">
        <v>146</v>
      </c>
      <c r="C15">
        <v>2</v>
      </c>
      <c r="D15">
        <v>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</v>
      </c>
      <c r="M15">
        <v>3</v>
      </c>
      <c r="N15">
        <v>2</v>
      </c>
      <c r="O15">
        <v>2</v>
      </c>
      <c r="P15">
        <v>2</v>
      </c>
      <c r="Q15">
        <v>0</v>
      </c>
      <c r="R15">
        <v>1</v>
      </c>
      <c r="S15">
        <v>0</v>
      </c>
      <c r="T15">
        <v>0</v>
      </c>
    </row>
    <row r="16" spans="1:20" x14ac:dyDescent="0.35">
      <c r="A16" t="s">
        <v>93</v>
      </c>
      <c r="B16" t="s">
        <v>144</v>
      </c>
      <c r="C16">
        <v>2</v>
      </c>
      <c r="D16">
        <v>2</v>
      </c>
      <c r="E16">
        <v>0</v>
      </c>
      <c r="F16">
        <v>0</v>
      </c>
      <c r="G16">
        <v>2</v>
      </c>
      <c r="H16">
        <v>0</v>
      </c>
      <c r="I16">
        <v>0</v>
      </c>
      <c r="J16">
        <v>1</v>
      </c>
      <c r="K16">
        <v>0</v>
      </c>
      <c r="L16">
        <v>1</v>
      </c>
      <c r="M16">
        <v>4</v>
      </c>
      <c r="N16">
        <v>2</v>
      </c>
      <c r="O16">
        <v>2</v>
      </c>
      <c r="P16">
        <v>0</v>
      </c>
      <c r="Q16">
        <v>0</v>
      </c>
      <c r="R16">
        <v>2</v>
      </c>
      <c r="S16">
        <v>1</v>
      </c>
      <c r="T16">
        <v>0</v>
      </c>
    </row>
    <row r="17" spans="1:20" x14ac:dyDescent="0.35">
      <c r="A17" t="s">
        <v>6</v>
      </c>
      <c r="B17" t="s">
        <v>122</v>
      </c>
      <c r="C17">
        <v>4</v>
      </c>
      <c r="D17">
        <v>2</v>
      </c>
      <c r="E17">
        <v>1</v>
      </c>
      <c r="F17">
        <v>0</v>
      </c>
      <c r="G17">
        <v>0</v>
      </c>
      <c r="H17">
        <v>0</v>
      </c>
      <c r="I17">
        <v>1</v>
      </c>
      <c r="J17">
        <v>1</v>
      </c>
      <c r="K17">
        <v>0</v>
      </c>
      <c r="L17">
        <v>3</v>
      </c>
      <c r="M17">
        <v>5</v>
      </c>
      <c r="N17">
        <v>3</v>
      </c>
      <c r="O17">
        <v>5</v>
      </c>
      <c r="P17">
        <v>1</v>
      </c>
      <c r="Q17">
        <v>2</v>
      </c>
      <c r="R17">
        <v>0</v>
      </c>
      <c r="S17">
        <v>1</v>
      </c>
      <c r="T1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65529-667F-4E65-8CD6-CE0AFFDFDACB}">
  <dimension ref="A1:T6"/>
  <sheetViews>
    <sheetView workbookViewId="0">
      <selection activeCell="B16" sqref="B16"/>
    </sheetView>
  </sheetViews>
  <sheetFormatPr defaultRowHeight="14.5" x14ac:dyDescent="0.35"/>
  <cols>
    <col min="1" max="1" width="21" customWidth="1"/>
    <col min="2" max="2" width="24.81640625" bestFit="1" customWidth="1"/>
  </cols>
  <sheetData>
    <row r="1" spans="1:20" x14ac:dyDescent="0.35">
      <c r="A1" t="s">
        <v>111</v>
      </c>
      <c r="B1" t="s">
        <v>112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  <c r="H1" t="s">
        <v>157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158</v>
      </c>
      <c r="P1" t="s">
        <v>159</v>
      </c>
      <c r="Q1" t="s">
        <v>160</v>
      </c>
      <c r="R1" t="s">
        <v>161</v>
      </c>
      <c r="S1" t="s">
        <v>162</v>
      </c>
      <c r="T1" t="s">
        <v>163</v>
      </c>
    </row>
    <row r="2" spans="1:20" x14ac:dyDescent="0.35">
      <c r="A2" t="s">
        <v>4</v>
      </c>
      <c r="B2" t="s">
        <v>125</v>
      </c>
      <c r="C2">
        <v>1</v>
      </c>
      <c r="D2">
        <v>4</v>
      </c>
      <c r="E2">
        <v>0</v>
      </c>
      <c r="F2">
        <v>0</v>
      </c>
      <c r="G2">
        <v>0</v>
      </c>
      <c r="H2">
        <v>0</v>
      </c>
      <c r="I2">
        <v>0</v>
      </c>
      <c r="J2">
        <v>2</v>
      </c>
      <c r="K2">
        <v>2</v>
      </c>
      <c r="L2">
        <v>1</v>
      </c>
      <c r="M2">
        <v>1</v>
      </c>
      <c r="N2">
        <v>1</v>
      </c>
      <c r="O2">
        <v>1</v>
      </c>
      <c r="P2">
        <v>5</v>
      </c>
      <c r="Q2">
        <v>1</v>
      </c>
      <c r="R2">
        <v>0</v>
      </c>
      <c r="S2">
        <v>0</v>
      </c>
      <c r="T2">
        <v>0</v>
      </c>
    </row>
    <row r="3" spans="1:20" x14ac:dyDescent="0.35">
      <c r="A3" t="s">
        <v>75</v>
      </c>
      <c r="B3" t="s">
        <v>120</v>
      </c>
      <c r="C3">
        <v>4</v>
      </c>
      <c r="D3">
        <v>1</v>
      </c>
      <c r="E3">
        <v>0</v>
      </c>
      <c r="F3">
        <v>0</v>
      </c>
      <c r="G3">
        <v>1</v>
      </c>
      <c r="H3">
        <v>1</v>
      </c>
      <c r="I3">
        <v>0</v>
      </c>
      <c r="J3">
        <v>1</v>
      </c>
      <c r="K3">
        <v>1</v>
      </c>
      <c r="L3">
        <v>0</v>
      </c>
      <c r="M3">
        <v>2</v>
      </c>
      <c r="N3">
        <v>2</v>
      </c>
      <c r="O3">
        <v>2</v>
      </c>
      <c r="P3">
        <v>1</v>
      </c>
      <c r="Q3">
        <v>0</v>
      </c>
      <c r="R3">
        <v>0</v>
      </c>
      <c r="S3">
        <v>1</v>
      </c>
      <c r="T3">
        <v>2</v>
      </c>
    </row>
    <row r="4" spans="1:20" x14ac:dyDescent="0.35">
      <c r="A4" t="s">
        <v>89</v>
      </c>
      <c r="B4" t="s">
        <v>143</v>
      </c>
      <c r="C4">
        <v>1</v>
      </c>
      <c r="D4">
        <v>3</v>
      </c>
      <c r="E4">
        <v>0</v>
      </c>
      <c r="F4">
        <v>0</v>
      </c>
      <c r="G4">
        <v>2</v>
      </c>
      <c r="H4">
        <v>0</v>
      </c>
      <c r="I4">
        <v>0</v>
      </c>
      <c r="J4">
        <v>1</v>
      </c>
      <c r="K4">
        <v>0</v>
      </c>
      <c r="L4">
        <v>1</v>
      </c>
      <c r="M4">
        <v>2</v>
      </c>
      <c r="N4">
        <v>1</v>
      </c>
      <c r="O4">
        <v>1</v>
      </c>
      <c r="P4">
        <v>3</v>
      </c>
      <c r="Q4">
        <v>0</v>
      </c>
      <c r="R4">
        <v>0</v>
      </c>
      <c r="S4">
        <v>1</v>
      </c>
      <c r="T4">
        <v>0</v>
      </c>
    </row>
    <row r="5" spans="1:20" x14ac:dyDescent="0.35">
      <c r="A5" t="s">
        <v>77</v>
      </c>
      <c r="B5" t="s">
        <v>121</v>
      </c>
      <c r="C5">
        <v>3</v>
      </c>
      <c r="D5">
        <v>0</v>
      </c>
      <c r="E5">
        <v>0</v>
      </c>
      <c r="F5">
        <v>4</v>
      </c>
      <c r="G5">
        <v>0</v>
      </c>
      <c r="H5">
        <v>0</v>
      </c>
      <c r="I5">
        <v>0</v>
      </c>
      <c r="J5">
        <v>1</v>
      </c>
      <c r="K5">
        <v>0</v>
      </c>
      <c r="L5">
        <v>2</v>
      </c>
      <c r="M5">
        <v>3</v>
      </c>
      <c r="N5">
        <v>3</v>
      </c>
      <c r="O5">
        <v>2</v>
      </c>
      <c r="P5">
        <v>0</v>
      </c>
      <c r="Q5">
        <v>0</v>
      </c>
      <c r="R5">
        <v>4</v>
      </c>
      <c r="S5">
        <v>0</v>
      </c>
      <c r="T5">
        <v>0</v>
      </c>
    </row>
    <row r="6" spans="1:20" x14ac:dyDescent="0.35">
      <c r="A6" t="s">
        <v>6</v>
      </c>
      <c r="B6" t="s">
        <v>122</v>
      </c>
      <c r="C6">
        <v>4</v>
      </c>
      <c r="D6">
        <v>2</v>
      </c>
      <c r="E6">
        <v>1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3</v>
      </c>
      <c r="M6">
        <v>5</v>
      </c>
      <c r="N6">
        <v>3</v>
      </c>
      <c r="O6">
        <v>5</v>
      </c>
      <c r="P6">
        <v>1</v>
      </c>
      <c r="Q6">
        <v>2</v>
      </c>
      <c r="R6">
        <v>0</v>
      </c>
      <c r="S6">
        <v>1</v>
      </c>
      <c r="T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9CFEE-10CE-43F7-94BC-2480F1239811}">
  <dimension ref="A1:T33"/>
  <sheetViews>
    <sheetView zoomScaleNormal="100" workbookViewId="0">
      <selection activeCell="Y21" sqref="Y21"/>
    </sheetView>
  </sheetViews>
  <sheetFormatPr defaultRowHeight="14.5" x14ac:dyDescent="0.35"/>
  <cols>
    <col min="1" max="1" width="11.7265625" bestFit="1" customWidth="1"/>
    <col min="2" max="2" width="22.7265625" bestFit="1" customWidth="1"/>
    <col min="3" max="3" width="9.7265625" bestFit="1" customWidth="1"/>
    <col min="4" max="4" width="10.1796875" bestFit="1" customWidth="1"/>
    <col min="5" max="5" width="7.81640625" bestFit="1" customWidth="1"/>
    <col min="6" max="6" width="8.81640625" bestFit="1" customWidth="1"/>
    <col min="7" max="7" width="9.7265625" bestFit="1" customWidth="1"/>
    <col min="8" max="8" width="9.453125" bestFit="1" customWidth="1"/>
    <col min="9" max="9" width="5.54296875" bestFit="1" customWidth="1"/>
    <col min="10" max="10" width="5.7265625" bestFit="1" customWidth="1"/>
    <col min="11" max="11" width="6" bestFit="1" customWidth="1"/>
    <col min="12" max="12" width="6.26953125" bestFit="1" customWidth="1"/>
    <col min="13" max="13" width="10.1796875" bestFit="1" customWidth="1"/>
    <col min="14" max="14" width="5.81640625" bestFit="1" customWidth="1"/>
    <col min="15" max="15" width="9.54296875" bestFit="1" customWidth="1"/>
    <col min="16" max="16" width="9.81640625" bestFit="1" customWidth="1"/>
    <col min="17" max="18" width="7.7265625" bestFit="1" customWidth="1"/>
    <col min="19" max="19" width="9.453125" bestFit="1" customWidth="1"/>
    <col min="20" max="20" width="9.26953125" bestFit="1" customWidth="1"/>
  </cols>
  <sheetData>
    <row r="1" spans="1:20" x14ac:dyDescent="0.35">
      <c r="A1" t="s">
        <v>111</v>
      </c>
      <c r="B1" t="s">
        <v>112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  <c r="H1" t="s">
        <v>157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158</v>
      </c>
      <c r="P1" t="s">
        <v>159</v>
      </c>
      <c r="Q1" t="s">
        <v>160</v>
      </c>
      <c r="R1" t="s">
        <v>161</v>
      </c>
      <c r="S1" t="s">
        <v>162</v>
      </c>
      <c r="T1" t="s">
        <v>163</v>
      </c>
    </row>
    <row r="2" spans="1:20" x14ac:dyDescent="0.35">
      <c r="A2" t="s">
        <v>10</v>
      </c>
      <c r="B2" t="s">
        <v>124</v>
      </c>
      <c r="C2">
        <v>3</v>
      </c>
      <c r="D2">
        <v>0</v>
      </c>
      <c r="E2">
        <v>1</v>
      </c>
      <c r="F2">
        <v>0</v>
      </c>
      <c r="G2">
        <v>3</v>
      </c>
      <c r="H2">
        <v>0</v>
      </c>
      <c r="I2">
        <v>0</v>
      </c>
      <c r="J2">
        <v>4</v>
      </c>
      <c r="K2">
        <v>0</v>
      </c>
      <c r="L2">
        <v>1</v>
      </c>
      <c r="M2">
        <v>3</v>
      </c>
      <c r="N2">
        <v>3</v>
      </c>
      <c r="O2">
        <v>2</v>
      </c>
      <c r="P2">
        <v>0</v>
      </c>
      <c r="Q2">
        <v>1</v>
      </c>
      <c r="R2">
        <v>0</v>
      </c>
      <c r="S2">
        <v>4</v>
      </c>
      <c r="T2">
        <v>0</v>
      </c>
    </row>
    <row r="3" spans="1:20" x14ac:dyDescent="0.35">
      <c r="A3" t="s">
        <v>9</v>
      </c>
      <c r="B3" t="s">
        <v>123</v>
      </c>
      <c r="C3">
        <v>3</v>
      </c>
      <c r="D3">
        <v>1</v>
      </c>
      <c r="E3">
        <v>0</v>
      </c>
      <c r="F3">
        <v>0</v>
      </c>
      <c r="G3">
        <v>3</v>
      </c>
      <c r="H3">
        <v>0</v>
      </c>
      <c r="I3">
        <v>1</v>
      </c>
      <c r="J3">
        <v>4</v>
      </c>
      <c r="K3">
        <v>0</v>
      </c>
      <c r="L3">
        <v>0</v>
      </c>
      <c r="M3">
        <v>1</v>
      </c>
      <c r="N3">
        <v>2</v>
      </c>
      <c r="O3">
        <v>2</v>
      </c>
      <c r="P3">
        <v>0</v>
      </c>
      <c r="Q3">
        <v>0</v>
      </c>
      <c r="R3">
        <v>0</v>
      </c>
      <c r="S3">
        <v>4</v>
      </c>
      <c r="T3">
        <v>0</v>
      </c>
    </row>
    <row r="4" spans="1:20" x14ac:dyDescent="0.35">
      <c r="A4" t="s">
        <v>88</v>
      </c>
      <c r="B4" t="s">
        <v>142</v>
      </c>
      <c r="C4">
        <v>1</v>
      </c>
      <c r="D4">
        <v>1</v>
      </c>
      <c r="E4">
        <v>0</v>
      </c>
      <c r="F4">
        <v>0</v>
      </c>
      <c r="G4">
        <v>2</v>
      </c>
      <c r="H4">
        <v>0</v>
      </c>
      <c r="I4">
        <v>1</v>
      </c>
      <c r="J4">
        <v>2</v>
      </c>
      <c r="K4">
        <v>0</v>
      </c>
      <c r="L4">
        <v>1</v>
      </c>
      <c r="M4">
        <v>3</v>
      </c>
      <c r="N4">
        <v>2</v>
      </c>
      <c r="O4">
        <v>1</v>
      </c>
      <c r="P4">
        <v>1</v>
      </c>
      <c r="Q4">
        <v>0</v>
      </c>
      <c r="R4">
        <v>0</v>
      </c>
      <c r="S4">
        <v>1</v>
      </c>
      <c r="T4">
        <v>0</v>
      </c>
    </row>
    <row r="5" spans="1:20" x14ac:dyDescent="0.35">
      <c r="A5" t="s">
        <v>74</v>
      </c>
      <c r="B5" t="s">
        <v>119</v>
      </c>
      <c r="C5">
        <v>2</v>
      </c>
      <c r="D5">
        <v>4</v>
      </c>
      <c r="E5">
        <v>0</v>
      </c>
      <c r="F5">
        <v>0</v>
      </c>
      <c r="G5">
        <v>1</v>
      </c>
      <c r="H5">
        <v>0</v>
      </c>
      <c r="I5">
        <v>0</v>
      </c>
      <c r="J5">
        <v>5</v>
      </c>
      <c r="K5">
        <v>0</v>
      </c>
      <c r="L5">
        <v>0</v>
      </c>
      <c r="M5">
        <v>1</v>
      </c>
      <c r="N5">
        <v>3</v>
      </c>
      <c r="O5">
        <v>1</v>
      </c>
      <c r="P5">
        <v>3</v>
      </c>
      <c r="Q5">
        <v>0</v>
      </c>
      <c r="R5">
        <v>0</v>
      </c>
      <c r="S5">
        <v>2</v>
      </c>
      <c r="T5">
        <v>0</v>
      </c>
    </row>
    <row r="6" spans="1:20" x14ac:dyDescent="0.35">
      <c r="A6" t="s">
        <v>5</v>
      </c>
      <c r="B6" t="s">
        <v>125</v>
      </c>
      <c r="C6">
        <v>1</v>
      </c>
      <c r="D6">
        <v>5</v>
      </c>
      <c r="E6">
        <v>0</v>
      </c>
      <c r="F6">
        <v>0</v>
      </c>
      <c r="G6">
        <v>0</v>
      </c>
      <c r="H6">
        <v>0</v>
      </c>
      <c r="I6">
        <v>0</v>
      </c>
      <c r="J6">
        <v>5</v>
      </c>
      <c r="K6">
        <v>0</v>
      </c>
      <c r="L6">
        <v>0</v>
      </c>
      <c r="M6">
        <v>0</v>
      </c>
      <c r="N6">
        <v>2</v>
      </c>
      <c r="O6">
        <v>1</v>
      </c>
      <c r="P6">
        <v>5</v>
      </c>
      <c r="Q6">
        <v>0</v>
      </c>
      <c r="R6">
        <v>0</v>
      </c>
      <c r="S6">
        <v>0</v>
      </c>
      <c r="T6">
        <v>0</v>
      </c>
    </row>
    <row r="7" spans="1:20" x14ac:dyDescent="0.35">
      <c r="A7" t="s">
        <v>76</v>
      </c>
      <c r="B7" t="s">
        <v>120</v>
      </c>
      <c r="C7">
        <v>2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4</v>
      </c>
      <c r="K7">
        <v>0</v>
      </c>
      <c r="L7">
        <v>0</v>
      </c>
      <c r="M7">
        <v>1</v>
      </c>
      <c r="N7">
        <v>3</v>
      </c>
      <c r="O7">
        <v>2</v>
      </c>
      <c r="P7">
        <v>1</v>
      </c>
      <c r="Q7">
        <v>0</v>
      </c>
      <c r="R7">
        <v>0</v>
      </c>
      <c r="S7">
        <v>0</v>
      </c>
      <c r="T7">
        <v>0</v>
      </c>
    </row>
    <row r="8" spans="1:20" x14ac:dyDescent="0.35">
      <c r="A8" t="s">
        <v>82</v>
      </c>
      <c r="B8" t="s">
        <v>139</v>
      </c>
      <c r="C8">
        <v>1</v>
      </c>
      <c r="D8">
        <v>2</v>
      </c>
      <c r="E8">
        <v>0</v>
      </c>
      <c r="F8">
        <v>1</v>
      </c>
      <c r="G8">
        <v>0</v>
      </c>
      <c r="H8">
        <v>0</v>
      </c>
      <c r="I8">
        <v>0</v>
      </c>
      <c r="J8">
        <v>3</v>
      </c>
      <c r="K8">
        <v>0</v>
      </c>
      <c r="L8">
        <v>0</v>
      </c>
      <c r="M8">
        <v>1</v>
      </c>
      <c r="N8">
        <v>1</v>
      </c>
      <c r="O8">
        <v>1</v>
      </c>
      <c r="P8">
        <v>1</v>
      </c>
      <c r="Q8">
        <v>0</v>
      </c>
      <c r="R8">
        <v>1</v>
      </c>
      <c r="S8">
        <v>0</v>
      </c>
      <c r="T8">
        <v>0</v>
      </c>
    </row>
    <row r="9" spans="1:20" x14ac:dyDescent="0.35">
      <c r="A9" t="s">
        <v>92</v>
      </c>
      <c r="B9" t="s">
        <v>145</v>
      </c>
      <c r="C9">
        <v>0</v>
      </c>
      <c r="D9">
        <v>3</v>
      </c>
      <c r="E9">
        <v>0</v>
      </c>
      <c r="F9">
        <v>0</v>
      </c>
      <c r="G9">
        <v>0</v>
      </c>
      <c r="H9">
        <v>0</v>
      </c>
      <c r="I9">
        <v>0</v>
      </c>
      <c r="J9">
        <v>5</v>
      </c>
      <c r="K9">
        <v>0</v>
      </c>
      <c r="L9">
        <v>0</v>
      </c>
      <c r="M9">
        <v>2</v>
      </c>
      <c r="N9">
        <v>3</v>
      </c>
      <c r="O9">
        <v>0</v>
      </c>
      <c r="P9">
        <v>3</v>
      </c>
      <c r="Q9">
        <v>0</v>
      </c>
      <c r="R9">
        <v>0</v>
      </c>
      <c r="S9">
        <v>0</v>
      </c>
      <c r="T9">
        <v>0</v>
      </c>
    </row>
    <row r="10" spans="1:20" x14ac:dyDescent="0.35">
      <c r="A10" t="s">
        <v>90</v>
      </c>
      <c r="B10" t="s">
        <v>143</v>
      </c>
      <c r="C10">
        <v>1</v>
      </c>
      <c r="D10">
        <v>2</v>
      </c>
      <c r="E10">
        <v>0</v>
      </c>
      <c r="F10">
        <v>1</v>
      </c>
      <c r="G10">
        <v>2</v>
      </c>
      <c r="H10">
        <v>0</v>
      </c>
      <c r="I10">
        <v>0</v>
      </c>
      <c r="J10">
        <v>4</v>
      </c>
      <c r="K10">
        <v>0</v>
      </c>
      <c r="L10">
        <v>0</v>
      </c>
      <c r="M10">
        <v>2</v>
      </c>
      <c r="N10">
        <v>2</v>
      </c>
      <c r="O10">
        <v>0</v>
      </c>
      <c r="P10">
        <v>1</v>
      </c>
      <c r="Q10">
        <v>0</v>
      </c>
      <c r="R10">
        <v>1</v>
      </c>
      <c r="S10">
        <v>2</v>
      </c>
      <c r="T10">
        <v>0</v>
      </c>
    </row>
    <row r="11" spans="1:20" x14ac:dyDescent="0.35">
      <c r="A11" t="s">
        <v>80</v>
      </c>
      <c r="B11" t="s">
        <v>138</v>
      </c>
      <c r="C11">
        <v>3</v>
      </c>
      <c r="D11">
        <v>2</v>
      </c>
      <c r="E11">
        <v>0</v>
      </c>
      <c r="F11">
        <v>1</v>
      </c>
      <c r="G11">
        <v>0</v>
      </c>
      <c r="H11">
        <v>0</v>
      </c>
      <c r="I11">
        <v>0</v>
      </c>
      <c r="J11">
        <v>3</v>
      </c>
      <c r="K11">
        <v>1</v>
      </c>
      <c r="L11">
        <v>1</v>
      </c>
      <c r="M11">
        <v>3</v>
      </c>
      <c r="N11">
        <v>2</v>
      </c>
      <c r="O11">
        <v>3</v>
      </c>
      <c r="P11">
        <v>2</v>
      </c>
      <c r="Q11">
        <v>0</v>
      </c>
      <c r="R11">
        <v>1</v>
      </c>
      <c r="S11">
        <v>1</v>
      </c>
      <c r="T11">
        <v>0</v>
      </c>
    </row>
    <row r="12" spans="1:20" x14ac:dyDescent="0.35">
      <c r="A12" t="s">
        <v>78</v>
      </c>
      <c r="B12" t="s">
        <v>121</v>
      </c>
      <c r="C12">
        <v>2</v>
      </c>
      <c r="D12">
        <v>0</v>
      </c>
      <c r="E12">
        <v>0</v>
      </c>
      <c r="F12">
        <v>3</v>
      </c>
      <c r="G12">
        <v>0</v>
      </c>
      <c r="H12">
        <v>0</v>
      </c>
      <c r="I12">
        <v>0</v>
      </c>
      <c r="J12">
        <v>3</v>
      </c>
      <c r="K12">
        <v>0</v>
      </c>
      <c r="L12">
        <v>1</v>
      </c>
      <c r="M12">
        <v>3</v>
      </c>
      <c r="N12">
        <v>3</v>
      </c>
      <c r="O12">
        <v>1</v>
      </c>
      <c r="P12">
        <v>0</v>
      </c>
      <c r="Q12">
        <v>0</v>
      </c>
      <c r="R12">
        <v>3</v>
      </c>
      <c r="S12">
        <v>0</v>
      </c>
      <c r="T12">
        <v>0</v>
      </c>
    </row>
    <row r="13" spans="1:20" x14ac:dyDescent="0.35">
      <c r="A13" t="s">
        <v>86</v>
      </c>
      <c r="B13" t="s">
        <v>141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2</v>
      </c>
      <c r="K13">
        <v>1</v>
      </c>
      <c r="L13">
        <v>0</v>
      </c>
      <c r="M13">
        <v>4</v>
      </c>
      <c r="N13">
        <v>1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</row>
    <row r="14" spans="1:20" x14ac:dyDescent="0.35">
      <c r="A14" t="s">
        <v>84</v>
      </c>
      <c r="B14" t="s">
        <v>140</v>
      </c>
      <c r="C14">
        <v>1</v>
      </c>
      <c r="D14">
        <v>2</v>
      </c>
      <c r="E14">
        <v>0</v>
      </c>
      <c r="F14">
        <v>0</v>
      </c>
      <c r="G14">
        <v>0</v>
      </c>
      <c r="H14">
        <v>0</v>
      </c>
      <c r="I14">
        <v>1</v>
      </c>
      <c r="J14">
        <v>3</v>
      </c>
      <c r="K14">
        <v>0</v>
      </c>
      <c r="L14">
        <v>0</v>
      </c>
      <c r="M14">
        <v>1</v>
      </c>
      <c r="N14">
        <v>2</v>
      </c>
      <c r="O14">
        <v>1</v>
      </c>
      <c r="P14">
        <v>2</v>
      </c>
      <c r="Q14">
        <v>0</v>
      </c>
      <c r="R14">
        <v>0</v>
      </c>
      <c r="S14">
        <v>0</v>
      </c>
      <c r="T14">
        <v>0</v>
      </c>
    </row>
    <row r="15" spans="1:20" x14ac:dyDescent="0.35">
      <c r="A15" t="s">
        <v>95</v>
      </c>
      <c r="B15" t="s">
        <v>146</v>
      </c>
      <c r="C15">
        <v>2</v>
      </c>
      <c r="D15">
        <v>2</v>
      </c>
      <c r="E15">
        <v>0</v>
      </c>
      <c r="F15">
        <v>0</v>
      </c>
      <c r="G15">
        <v>0</v>
      </c>
      <c r="H15">
        <v>0</v>
      </c>
      <c r="I15">
        <v>0</v>
      </c>
      <c r="J15">
        <v>4</v>
      </c>
      <c r="K15">
        <v>0</v>
      </c>
      <c r="L15">
        <v>1</v>
      </c>
      <c r="M15">
        <v>3</v>
      </c>
      <c r="N15">
        <v>3</v>
      </c>
      <c r="O15">
        <v>2</v>
      </c>
      <c r="P15">
        <v>1</v>
      </c>
      <c r="Q15">
        <v>0</v>
      </c>
      <c r="R15">
        <v>2</v>
      </c>
      <c r="S15">
        <v>0</v>
      </c>
      <c r="T15">
        <v>0</v>
      </c>
    </row>
    <row r="16" spans="1:20" x14ac:dyDescent="0.35">
      <c r="A16" t="s">
        <v>94</v>
      </c>
      <c r="B16" t="s">
        <v>144</v>
      </c>
      <c r="C16">
        <v>1</v>
      </c>
      <c r="D16">
        <v>1</v>
      </c>
      <c r="E16">
        <v>0</v>
      </c>
      <c r="F16">
        <v>0</v>
      </c>
      <c r="G16">
        <v>1</v>
      </c>
      <c r="H16">
        <v>0</v>
      </c>
      <c r="I16">
        <v>0</v>
      </c>
      <c r="J16">
        <v>5</v>
      </c>
      <c r="K16">
        <v>0</v>
      </c>
      <c r="L16">
        <v>0</v>
      </c>
      <c r="M16">
        <v>3</v>
      </c>
      <c r="N16">
        <v>3</v>
      </c>
      <c r="O16">
        <v>1</v>
      </c>
      <c r="P16">
        <v>0</v>
      </c>
      <c r="Q16">
        <v>0</v>
      </c>
      <c r="R16">
        <v>3</v>
      </c>
      <c r="S16">
        <v>1</v>
      </c>
      <c r="T16">
        <v>0</v>
      </c>
    </row>
    <row r="17" spans="1:20" x14ac:dyDescent="0.35">
      <c r="A17" t="s">
        <v>7</v>
      </c>
      <c r="B17" t="s">
        <v>122</v>
      </c>
      <c r="C17">
        <v>3</v>
      </c>
      <c r="D17">
        <v>3</v>
      </c>
      <c r="E17">
        <v>0</v>
      </c>
      <c r="F17">
        <v>0</v>
      </c>
      <c r="G17">
        <v>2</v>
      </c>
      <c r="H17">
        <v>0</v>
      </c>
      <c r="I17">
        <v>0</v>
      </c>
      <c r="J17">
        <v>4</v>
      </c>
      <c r="K17">
        <v>0</v>
      </c>
      <c r="L17">
        <v>2</v>
      </c>
      <c r="M17">
        <v>4</v>
      </c>
      <c r="N17">
        <v>4</v>
      </c>
      <c r="O17">
        <v>2</v>
      </c>
      <c r="P17">
        <v>3</v>
      </c>
      <c r="Q17">
        <v>1</v>
      </c>
      <c r="R17">
        <v>0</v>
      </c>
      <c r="S17">
        <v>2</v>
      </c>
      <c r="T17">
        <v>0</v>
      </c>
    </row>
    <row r="18" spans="1:20" x14ac:dyDescent="0.35">
      <c r="A18" s="3"/>
      <c r="C18" s="3"/>
      <c r="D18" s="17"/>
      <c r="F18" s="3"/>
      <c r="G18" s="3"/>
      <c r="H18" s="3"/>
      <c r="I18" s="3"/>
      <c r="J18" s="16"/>
      <c r="K18" s="16"/>
      <c r="L18" s="16"/>
      <c r="M18" s="16"/>
      <c r="N18" s="16"/>
    </row>
    <row r="19" spans="1:20" x14ac:dyDescent="0.35">
      <c r="A19" s="3"/>
      <c r="C19" s="3"/>
      <c r="D19" s="17"/>
      <c r="F19" s="3"/>
      <c r="G19" s="3"/>
      <c r="H19" s="3"/>
      <c r="I19" s="3"/>
      <c r="J19" s="16"/>
      <c r="K19" s="16"/>
      <c r="L19" s="16"/>
      <c r="M19" s="16"/>
      <c r="N19" s="16"/>
    </row>
    <row r="20" spans="1:20" x14ac:dyDescent="0.35">
      <c r="A20" s="3"/>
      <c r="D20" s="17"/>
      <c r="I20" s="3"/>
      <c r="J20" s="16"/>
      <c r="K20" s="16"/>
      <c r="L20" s="16"/>
      <c r="M20" s="16"/>
      <c r="N20" s="16"/>
    </row>
    <row r="21" spans="1:20" x14ac:dyDescent="0.35">
      <c r="A21" s="3"/>
      <c r="C21" s="3"/>
      <c r="D21" s="17"/>
      <c r="F21" s="3"/>
      <c r="G21" s="3"/>
      <c r="H21" s="3"/>
      <c r="I21" s="3"/>
      <c r="J21" s="16"/>
      <c r="K21" s="16"/>
      <c r="L21" s="16"/>
      <c r="M21" s="16"/>
      <c r="N21" s="16"/>
    </row>
    <row r="22" spans="1:20" x14ac:dyDescent="0.35">
      <c r="A22" s="3"/>
      <c r="C22" s="3"/>
      <c r="D22" s="17"/>
      <c r="F22" s="3"/>
      <c r="G22" s="3"/>
      <c r="H22" s="3"/>
      <c r="I22" s="16"/>
      <c r="J22" s="16"/>
      <c r="K22" s="16"/>
      <c r="L22" s="16"/>
      <c r="M22" s="16"/>
      <c r="N22" s="16"/>
    </row>
    <row r="23" spans="1:20" x14ac:dyDescent="0.35">
      <c r="D23" s="17"/>
    </row>
    <row r="24" spans="1:20" x14ac:dyDescent="0.35">
      <c r="D24" s="17"/>
    </row>
    <row r="25" spans="1:20" x14ac:dyDescent="0.35">
      <c r="D25" s="17"/>
    </row>
    <row r="26" spans="1:20" x14ac:dyDescent="0.35">
      <c r="D26" s="17"/>
    </row>
    <row r="27" spans="1:20" x14ac:dyDescent="0.35">
      <c r="D27" s="17"/>
    </row>
    <row r="28" spans="1:20" x14ac:dyDescent="0.35">
      <c r="D28" s="17"/>
    </row>
    <row r="29" spans="1:20" x14ac:dyDescent="0.35">
      <c r="D29" s="17"/>
    </row>
    <row r="30" spans="1:20" x14ac:dyDescent="0.35">
      <c r="D30" s="17"/>
    </row>
    <row r="31" spans="1:20" x14ac:dyDescent="0.35">
      <c r="D31" s="17"/>
    </row>
    <row r="32" spans="1:20" x14ac:dyDescent="0.35">
      <c r="D32" s="17"/>
    </row>
    <row r="33" spans="4:4" x14ac:dyDescent="0.35">
      <c r="D33" s="17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66428-8DC1-40AA-8517-C1D50F9A3936}">
  <sheetPr>
    <tabColor theme="7"/>
  </sheetPr>
  <dimension ref="A1:AU33"/>
  <sheetViews>
    <sheetView zoomScaleNormal="100" workbookViewId="0">
      <selection activeCell="I30" sqref="I30"/>
    </sheetView>
  </sheetViews>
  <sheetFormatPr defaultRowHeight="14.5" x14ac:dyDescent="0.35"/>
  <cols>
    <col min="1" max="1" width="13.26953125" bestFit="1" customWidth="1"/>
    <col min="2" max="2" width="22.7265625" bestFit="1" customWidth="1"/>
    <col min="3" max="3" width="7.453125" bestFit="1" customWidth="1"/>
    <col min="4" max="4" width="12" customWidth="1"/>
    <col min="5" max="5" width="12.26953125" customWidth="1"/>
    <col min="6" max="6" width="9.81640625" customWidth="1"/>
    <col min="7" max="7" width="10.7265625" customWidth="1"/>
    <col min="8" max="8" width="11.54296875" customWidth="1"/>
    <col min="9" max="9" width="11.7265625" customWidth="1"/>
    <col min="10" max="10" width="7.7265625" customWidth="1"/>
    <col min="11" max="11" width="7.54296875" customWidth="1"/>
    <col min="12" max="12" width="8.1796875" customWidth="1"/>
    <col min="13" max="13" width="8.54296875" customWidth="1"/>
    <col min="14" max="14" width="12.54296875" customWidth="1"/>
    <col min="15" max="15" width="8" customWidth="1"/>
    <col min="16" max="16" width="11.81640625" customWidth="1"/>
    <col min="17" max="17" width="12.26953125" customWidth="1"/>
    <col min="18" max="18" width="9.7265625" customWidth="1"/>
    <col min="19" max="19" width="10.54296875" customWidth="1"/>
    <col min="20" max="20" width="11.453125" customWidth="1"/>
    <col min="21" max="21" width="9.7265625" bestFit="1" customWidth="1"/>
    <col min="23" max="23" width="10.26953125" bestFit="1" customWidth="1"/>
    <col min="24" max="24" width="33.453125" bestFit="1" customWidth="1"/>
    <col min="25" max="26" width="12" bestFit="1" customWidth="1"/>
    <col min="27" max="27" width="4.7265625" bestFit="1" customWidth="1"/>
    <col min="28" max="28" width="12" bestFit="1" customWidth="1"/>
    <col min="29" max="29" width="19.7265625" bestFit="1" customWidth="1"/>
    <col min="30" max="31" width="6.26953125" bestFit="1" customWidth="1"/>
    <col min="32" max="32" width="6.7265625" bestFit="1" customWidth="1"/>
    <col min="33" max="33" width="11.7265625" bestFit="1" customWidth="1"/>
    <col min="34" max="34" width="8.54296875" bestFit="1" customWidth="1"/>
    <col min="35" max="35" width="12" bestFit="1" customWidth="1"/>
    <col min="36" max="36" width="11.7265625" bestFit="1" customWidth="1"/>
    <col min="37" max="37" width="12.54296875" bestFit="1" customWidth="1"/>
  </cols>
  <sheetData>
    <row r="1" spans="1:47" x14ac:dyDescent="0.35">
      <c r="A1" s="17" t="s">
        <v>111</v>
      </c>
      <c r="B1" s="17" t="s">
        <v>112</v>
      </c>
      <c r="C1" s="17" t="s">
        <v>298</v>
      </c>
      <c r="D1" s="18" t="s">
        <v>126</v>
      </c>
      <c r="E1" s="18" t="s">
        <v>127</v>
      </c>
      <c r="F1" s="18" t="s">
        <v>128</v>
      </c>
      <c r="G1" s="18" t="s">
        <v>129</v>
      </c>
      <c r="H1" s="18" t="s">
        <v>130</v>
      </c>
      <c r="I1" s="18" t="s">
        <v>131</v>
      </c>
      <c r="J1" s="18" t="s">
        <v>113</v>
      </c>
      <c r="K1" s="18" t="s">
        <v>114</v>
      </c>
      <c r="L1" s="18" t="s">
        <v>115</v>
      </c>
      <c r="M1" s="18" t="s">
        <v>116</v>
      </c>
      <c r="N1" s="18" t="s">
        <v>117</v>
      </c>
      <c r="O1" s="18" t="s">
        <v>118</v>
      </c>
      <c r="P1" s="18" t="s">
        <v>132</v>
      </c>
      <c r="Q1" s="18" t="s">
        <v>133</v>
      </c>
      <c r="R1" s="18" t="s">
        <v>134</v>
      </c>
      <c r="S1" s="18" t="s">
        <v>135</v>
      </c>
      <c r="T1" s="18" t="s">
        <v>136</v>
      </c>
      <c r="U1" s="18" t="s">
        <v>137</v>
      </c>
      <c r="X1" t="s">
        <v>299</v>
      </c>
      <c r="AP1" s="3"/>
      <c r="AQ1" s="3"/>
      <c r="AR1" s="3"/>
      <c r="AS1" s="3"/>
      <c r="AT1" s="3"/>
      <c r="AU1" s="3"/>
    </row>
    <row r="2" spans="1:47" x14ac:dyDescent="0.35">
      <c r="A2" s="9" t="s">
        <v>11</v>
      </c>
      <c r="B2" s="17" t="s">
        <v>124</v>
      </c>
      <c r="C2" s="9" t="s">
        <v>296</v>
      </c>
      <c r="D2" s="18">
        <v>0</v>
      </c>
      <c r="E2" s="18">
        <v>0</v>
      </c>
      <c r="F2" s="18">
        <v>0</v>
      </c>
      <c r="G2" s="18">
        <v>1</v>
      </c>
      <c r="H2" s="18">
        <v>2</v>
      </c>
      <c r="I2" s="18">
        <v>0</v>
      </c>
      <c r="J2" s="18">
        <v>1</v>
      </c>
      <c r="K2" s="18">
        <v>1</v>
      </c>
      <c r="L2" s="18">
        <v>0</v>
      </c>
      <c r="M2" s="18">
        <v>3</v>
      </c>
      <c r="N2" s="18">
        <v>2</v>
      </c>
      <c r="O2" s="18">
        <v>3</v>
      </c>
      <c r="P2" s="18">
        <v>0</v>
      </c>
      <c r="Q2" s="18">
        <v>0</v>
      </c>
      <c r="R2" s="18">
        <v>0</v>
      </c>
      <c r="S2" s="18">
        <v>1</v>
      </c>
      <c r="T2" s="18">
        <v>2</v>
      </c>
      <c r="U2" s="18">
        <v>0</v>
      </c>
      <c r="AP2" s="7"/>
      <c r="AQ2" s="7"/>
      <c r="AR2" s="7"/>
      <c r="AS2" s="7"/>
      <c r="AT2" s="7"/>
      <c r="AU2" s="7"/>
    </row>
    <row r="3" spans="1:47" x14ac:dyDescent="0.35">
      <c r="A3" s="9" t="s">
        <v>8</v>
      </c>
      <c r="B3" s="17" t="s">
        <v>123</v>
      </c>
      <c r="C3" s="9" t="s">
        <v>296</v>
      </c>
      <c r="D3" s="18">
        <v>1</v>
      </c>
      <c r="E3" s="18">
        <v>1</v>
      </c>
      <c r="F3" s="18">
        <v>0</v>
      </c>
      <c r="G3" s="18">
        <v>1</v>
      </c>
      <c r="H3" s="18">
        <v>0</v>
      </c>
      <c r="I3" s="18">
        <v>0</v>
      </c>
      <c r="J3" s="18">
        <v>2</v>
      </c>
      <c r="K3" s="18">
        <v>2</v>
      </c>
      <c r="L3" s="18">
        <v>0</v>
      </c>
      <c r="M3" s="18">
        <v>2</v>
      </c>
      <c r="N3" s="18">
        <v>3</v>
      </c>
      <c r="O3" s="18">
        <v>2</v>
      </c>
      <c r="P3" s="18">
        <v>3</v>
      </c>
      <c r="Q3" s="18">
        <v>1</v>
      </c>
      <c r="R3" s="18">
        <v>0</v>
      </c>
      <c r="S3" s="18">
        <v>1</v>
      </c>
      <c r="T3" s="18">
        <v>0</v>
      </c>
      <c r="U3" s="18">
        <v>0</v>
      </c>
      <c r="W3" s="3"/>
      <c r="X3" t="s">
        <v>300</v>
      </c>
      <c r="Y3" t="s">
        <v>126</v>
      </c>
      <c r="Z3" t="s">
        <v>127</v>
      </c>
      <c r="AA3" t="s">
        <v>128</v>
      </c>
      <c r="AB3" t="s">
        <v>129</v>
      </c>
      <c r="AC3" t="s">
        <v>130</v>
      </c>
      <c r="AD3" t="s">
        <v>131</v>
      </c>
      <c r="AE3" t="s">
        <v>113</v>
      </c>
      <c r="AF3" t="s">
        <v>114</v>
      </c>
      <c r="AG3" t="s">
        <v>115</v>
      </c>
      <c r="AH3" t="s">
        <v>116</v>
      </c>
      <c r="AI3" t="s">
        <v>117</v>
      </c>
      <c r="AJ3" t="s">
        <v>118</v>
      </c>
      <c r="AK3" t="s">
        <v>132</v>
      </c>
      <c r="AL3" t="s">
        <v>133</v>
      </c>
      <c r="AM3" t="s">
        <v>134</v>
      </c>
      <c r="AN3" t="s">
        <v>135</v>
      </c>
      <c r="AO3" t="s">
        <v>136</v>
      </c>
      <c r="AP3" s="3" t="s">
        <v>137</v>
      </c>
      <c r="AQ3" s="3" t="s">
        <v>301</v>
      </c>
      <c r="AR3" s="3"/>
      <c r="AS3" s="3"/>
      <c r="AT3" s="3"/>
      <c r="AU3" s="3"/>
    </row>
    <row r="4" spans="1:47" ht="15" thickBot="1" x14ac:dyDescent="0.4">
      <c r="A4" t="s">
        <v>87</v>
      </c>
      <c r="B4" s="17" t="s">
        <v>142</v>
      </c>
      <c r="C4" s="9" t="s">
        <v>296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2</v>
      </c>
      <c r="M4">
        <v>0</v>
      </c>
      <c r="N4">
        <v>3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W4" s="3"/>
      <c r="X4" s="77" t="s">
        <v>296</v>
      </c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3"/>
      <c r="AS4" s="3"/>
      <c r="AT4" s="3"/>
      <c r="AU4" s="3"/>
    </row>
    <row r="5" spans="1:47" x14ac:dyDescent="0.35">
      <c r="A5" s="9" t="s">
        <v>73</v>
      </c>
      <c r="B5" s="17" t="s">
        <v>119</v>
      </c>
      <c r="C5" s="9" t="s">
        <v>296</v>
      </c>
      <c r="D5" s="18">
        <v>2</v>
      </c>
      <c r="E5" s="18">
        <v>1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18">
        <v>2</v>
      </c>
      <c r="L5" s="18">
        <v>2</v>
      </c>
      <c r="M5" s="18">
        <v>1</v>
      </c>
      <c r="N5" s="18">
        <v>2</v>
      </c>
      <c r="O5" s="18">
        <v>1</v>
      </c>
      <c r="P5" s="18">
        <v>4</v>
      </c>
      <c r="Q5" s="18">
        <v>1</v>
      </c>
      <c r="R5" s="18">
        <v>0</v>
      </c>
      <c r="S5" s="18">
        <v>0</v>
      </c>
      <c r="T5" s="18">
        <v>0</v>
      </c>
      <c r="U5" s="18">
        <v>0</v>
      </c>
      <c r="W5" s="3"/>
      <c r="X5" t="s">
        <v>302</v>
      </c>
      <c r="Y5">
        <v>16</v>
      </c>
      <c r="Z5">
        <v>16</v>
      </c>
      <c r="AA5">
        <v>16</v>
      </c>
      <c r="AB5">
        <v>16</v>
      </c>
      <c r="AC5">
        <v>16</v>
      </c>
      <c r="AD5">
        <v>16</v>
      </c>
      <c r="AE5">
        <v>16</v>
      </c>
      <c r="AF5">
        <v>16</v>
      </c>
      <c r="AG5">
        <v>16</v>
      </c>
      <c r="AH5">
        <v>16</v>
      </c>
      <c r="AI5">
        <v>16</v>
      </c>
      <c r="AJ5">
        <v>16</v>
      </c>
      <c r="AK5">
        <v>16</v>
      </c>
      <c r="AL5">
        <v>16</v>
      </c>
      <c r="AM5">
        <v>16</v>
      </c>
      <c r="AN5">
        <v>16</v>
      </c>
      <c r="AO5">
        <v>16</v>
      </c>
      <c r="AP5">
        <v>16</v>
      </c>
      <c r="AQ5">
        <v>288</v>
      </c>
      <c r="AR5" s="3"/>
      <c r="AS5" s="3"/>
      <c r="AT5" s="3"/>
      <c r="AU5" s="3"/>
    </row>
    <row r="6" spans="1:47" x14ac:dyDescent="0.35">
      <c r="A6" s="9" t="s">
        <v>4</v>
      </c>
      <c r="B6" s="17" t="s">
        <v>125</v>
      </c>
      <c r="C6" s="9" t="s">
        <v>296</v>
      </c>
      <c r="D6" s="18">
        <v>0</v>
      </c>
      <c r="E6" s="18">
        <v>3</v>
      </c>
      <c r="F6" s="18">
        <v>0</v>
      </c>
      <c r="G6" s="18">
        <v>0</v>
      </c>
      <c r="H6" s="18">
        <v>0</v>
      </c>
      <c r="I6" s="18">
        <v>0</v>
      </c>
      <c r="J6" s="18">
        <v>1</v>
      </c>
      <c r="K6" s="18">
        <v>1</v>
      </c>
      <c r="L6" s="18">
        <v>2</v>
      </c>
      <c r="M6" s="18">
        <v>1</v>
      </c>
      <c r="N6" s="18">
        <v>1</v>
      </c>
      <c r="O6" s="18">
        <v>2</v>
      </c>
      <c r="P6" s="18">
        <v>1</v>
      </c>
      <c r="Q6" s="18">
        <v>4</v>
      </c>
      <c r="R6" s="18">
        <v>0</v>
      </c>
      <c r="S6" s="18">
        <v>0</v>
      </c>
      <c r="T6" s="18">
        <v>0</v>
      </c>
      <c r="U6" s="18">
        <v>0</v>
      </c>
      <c r="W6" s="3"/>
      <c r="X6" t="s">
        <v>303</v>
      </c>
      <c r="Y6">
        <v>16</v>
      </c>
      <c r="Z6">
        <v>13</v>
      </c>
      <c r="AA6">
        <v>0</v>
      </c>
      <c r="AB6">
        <v>6</v>
      </c>
      <c r="AC6">
        <v>9</v>
      </c>
      <c r="AD6">
        <v>0</v>
      </c>
      <c r="AE6">
        <v>14</v>
      </c>
      <c r="AF6">
        <v>15</v>
      </c>
      <c r="AG6">
        <v>18</v>
      </c>
      <c r="AH6">
        <v>13</v>
      </c>
      <c r="AI6">
        <v>34</v>
      </c>
      <c r="AJ6">
        <v>26</v>
      </c>
      <c r="AK6">
        <v>23</v>
      </c>
      <c r="AL6">
        <v>15</v>
      </c>
      <c r="AM6">
        <v>0</v>
      </c>
      <c r="AN6">
        <v>7</v>
      </c>
      <c r="AO6">
        <v>10</v>
      </c>
      <c r="AP6">
        <v>2</v>
      </c>
      <c r="AQ6">
        <v>221</v>
      </c>
      <c r="AR6" s="3"/>
      <c r="AS6" s="3"/>
      <c r="AT6" s="3"/>
      <c r="AU6" s="3"/>
    </row>
    <row r="7" spans="1:47" x14ac:dyDescent="0.35">
      <c r="A7" s="9" t="s">
        <v>75</v>
      </c>
      <c r="B7" s="17" t="s">
        <v>120</v>
      </c>
      <c r="C7" s="9" t="s">
        <v>296</v>
      </c>
      <c r="D7" s="18">
        <v>0</v>
      </c>
      <c r="E7" s="18">
        <v>4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2</v>
      </c>
      <c r="L7" s="18">
        <v>0</v>
      </c>
      <c r="M7" s="18">
        <v>0</v>
      </c>
      <c r="N7" s="18">
        <v>3</v>
      </c>
      <c r="O7" s="18">
        <v>1</v>
      </c>
      <c r="P7" s="18">
        <v>0</v>
      </c>
      <c r="Q7" s="18">
        <v>4</v>
      </c>
      <c r="R7" s="18">
        <v>0</v>
      </c>
      <c r="S7" s="18">
        <v>0</v>
      </c>
      <c r="T7" s="18">
        <v>0</v>
      </c>
      <c r="U7" s="18">
        <v>2</v>
      </c>
      <c r="W7" s="3"/>
      <c r="X7" t="s">
        <v>304</v>
      </c>
      <c r="Y7">
        <v>1</v>
      </c>
      <c r="Z7">
        <v>0.8125</v>
      </c>
      <c r="AA7">
        <v>0</v>
      </c>
      <c r="AB7">
        <v>0.375</v>
      </c>
      <c r="AC7">
        <v>0.5625</v>
      </c>
      <c r="AD7">
        <v>0</v>
      </c>
      <c r="AE7">
        <v>0.875</v>
      </c>
      <c r="AF7">
        <v>0.9375</v>
      </c>
      <c r="AG7">
        <v>1.125</v>
      </c>
      <c r="AH7">
        <v>0.8125</v>
      </c>
      <c r="AI7">
        <v>2.125</v>
      </c>
      <c r="AJ7">
        <v>1.625</v>
      </c>
      <c r="AK7">
        <v>1.4375</v>
      </c>
      <c r="AL7">
        <v>0.9375</v>
      </c>
      <c r="AM7">
        <v>0</v>
      </c>
      <c r="AN7">
        <v>0.4375</v>
      </c>
      <c r="AO7">
        <v>0.625</v>
      </c>
      <c r="AP7">
        <v>0.125</v>
      </c>
      <c r="AQ7">
        <v>0.76736111111111116</v>
      </c>
      <c r="AR7" s="3"/>
      <c r="AS7" s="3"/>
      <c r="AT7" s="3"/>
      <c r="AU7" s="3"/>
    </row>
    <row r="8" spans="1:47" x14ac:dyDescent="0.35">
      <c r="A8" t="s">
        <v>81</v>
      </c>
      <c r="B8" s="17" t="s">
        <v>139</v>
      </c>
      <c r="C8" s="9" t="s">
        <v>296</v>
      </c>
      <c r="D8">
        <v>1</v>
      </c>
      <c r="E8">
        <v>1</v>
      </c>
      <c r="F8">
        <v>0</v>
      </c>
      <c r="G8">
        <v>0</v>
      </c>
      <c r="H8">
        <v>1</v>
      </c>
      <c r="I8">
        <v>0</v>
      </c>
      <c r="J8">
        <v>2</v>
      </c>
      <c r="K8">
        <v>0</v>
      </c>
      <c r="L8">
        <v>1</v>
      </c>
      <c r="M8">
        <v>0</v>
      </c>
      <c r="N8">
        <v>1</v>
      </c>
      <c r="O8">
        <v>1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W8" s="3"/>
      <c r="X8" t="s">
        <v>305</v>
      </c>
      <c r="Y8">
        <v>0.53333333333333333</v>
      </c>
      <c r="Z8">
        <v>1.4958333333333333</v>
      </c>
      <c r="AA8">
        <v>0</v>
      </c>
      <c r="AB8">
        <v>0.38333333333333336</v>
      </c>
      <c r="AC8">
        <v>0.79583333333333328</v>
      </c>
      <c r="AD8">
        <v>0</v>
      </c>
      <c r="AE8">
        <v>0.65</v>
      </c>
      <c r="AF8">
        <v>0.59583333333333333</v>
      </c>
      <c r="AG8">
        <v>1.3166666666666667</v>
      </c>
      <c r="AH8">
        <v>0.96250000000000002</v>
      </c>
      <c r="AI8">
        <v>0.91666666666666663</v>
      </c>
      <c r="AJ8">
        <v>0.38333333333333336</v>
      </c>
      <c r="AK8">
        <v>1.4624999999999999</v>
      </c>
      <c r="AL8">
        <v>1.9291666666666667</v>
      </c>
      <c r="AM8">
        <v>0</v>
      </c>
      <c r="AN8">
        <v>1.0625</v>
      </c>
      <c r="AO8">
        <v>0.91666666666666663</v>
      </c>
      <c r="AP8">
        <v>0.25</v>
      </c>
      <c r="AQ8">
        <v>1.036282907471932</v>
      </c>
      <c r="AR8" s="3"/>
      <c r="AS8" s="3"/>
      <c r="AT8" s="3"/>
      <c r="AU8" s="3"/>
    </row>
    <row r="9" spans="1:47" x14ac:dyDescent="0.35">
      <c r="A9" s="3" t="s">
        <v>91</v>
      </c>
      <c r="B9" s="17" t="s">
        <v>145</v>
      </c>
      <c r="C9" s="9" t="s">
        <v>296</v>
      </c>
      <c r="D9" s="3">
        <v>1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1</v>
      </c>
      <c r="L9" s="3">
        <v>2</v>
      </c>
      <c r="M9" s="3">
        <v>0</v>
      </c>
      <c r="N9" s="3">
        <v>2</v>
      </c>
      <c r="O9" s="3">
        <v>1</v>
      </c>
      <c r="P9" s="3">
        <v>2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W9" s="3"/>
      <c r="AR9" s="3"/>
      <c r="AS9" s="3"/>
      <c r="AT9" s="3"/>
      <c r="AU9" s="3"/>
    </row>
    <row r="10" spans="1:47" ht="15" thickBot="1" x14ac:dyDescent="0.4">
      <c r="A10" s="3" t="s">
        <v>89</v>
      </c>
      <c r="B10" s="17" t="s">
        <v>143</v>
      </c>
      <c r="C10" s="9" t="s">
        <v>296</v>
      </c>
      <c r="D10" s="3">
        <v>2</v>
      </c>
      <c r="E10" s="3">
        <v>0</v>
      </c>
      <c r="F10" s="3">
        <v>0</v>
      </c>
      <c r="G10" s="3">
        <v>0</v>
      </c>
      <c r="H10" s="3">
        <v>2</v>
      </c>
      <c r="I10" s="3">
        <v>0</v>
      </c>
      <c r="J10" s="3">
        <v>1</v>
      </c>
      <c r="K10" s="3">
        <v>2</v>
      </c>
      <c r="L10" s="3">
        <v>1</v>
      </c>
      <c r="M10" s="3">
        <v>0</v>
      </c>
      <c r="N10" s="3">
        <v>2</v>
      </c>
      <c r="O10" s="3">
        <v>2</v>
      </c>
      <c r="P10" s="3">
        <v>2</v>
      </c>
      <c r="Q10" s="3">
        <v>0</v>
      </c>
      <c r="R10" s="3">
        <v>0</v>
      </c>
      <c r="S10" s="3">
        <v>0</v>
      </c>
      <c r="T10" s="3">
        <v>2</v>
      </c>
      <c r="U10" s="3">
        <v>0</v>
      </c>
      <c r="W10" s="3"/>
      <c r="X10" s="77" t="s">
        <v>297</v>
      </c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3"/>
      <c r="AS10" s="3"/>
      <c r="AT10" s="3"/>
      <c r="AU10" s="3"/>
    </row>
    <row r="11" spans="1:47" x14ac:dyDescent="0.35">
      <c r="A11" t="s">
        <v>79</v>
      </c>
      <c r="B11" s="17" t="s">
        <v>138</v>
      </c>
      <c r="C11" s="9" t="s">
        <v>296</v>
      </c>
      <c r="D11">
        <v>1</v>
      </c>
      <c r="E11">
        <v>1</v>
      </c>
      <c r="F11">
        <v>0</v>
      </c>
      <c r="G11">
        <v>0</v>
      </c>
      <c r="H11">
        <v>2</v>
      </c>
      <c r="I11">
        <v>0</v>
      </c>
      <c r="J11">
        <v>2</v>
      </c>
      <c r="K11">
        <v>0</v>
      </c>
      <c r="L11">
        <v>3</v>
      </c>
      <c r="M11">
        <v>0</v>
      </c>
      <c r="N11">
        <v>1</v>
      </c>
      <c r="O11">
        <v>2</v>
      </c>
      <c r="P11">
        <v>1</v>
      </c>
      <c r="Q11">
        <v>2</v>
      </c>
      <c r="R11">
        <v>0</v>
      </c>
      <c r="S11">
        <v>0</v>
      </c>
      <c r="T11">
        <v>1</v>
      </c>
      <c r="U11">
        <v>0</v>
      </c>
      <c r="W11" s="3"/>
      <c r="X11" t="s">
        <v>302</v>
      </c>
      <c r="Y11">
        <v>16</v>
      </c>
      <c r="Z11">
        <v>16</v>
      </c>
      <c r="AA11">
        <v>16</v>
      </c>
      <c r="AB11">
        <v>16</v>
      </c>
      <c r="AC11">
        <v>16</v>
      </c>
      <c r="AD11">
        <v>16</v>
      </c>
      <c r="AE11">
        <v>16</v>
      </c>
      <c r="AF11">
        <v>16</v>
      </c>
      <c r="AG11">
        <v>16</v>
      </c>
      <c r="AH11">
        <v>16</v>
      </c>
      <c r="AI11">
        <v>16</v>
      </c>
      <c r="AJ11">
        <v>16</v>
      </c>
      <c r="AK11">
        <v>16</v>
      </c>
      <c r="AL11">
        <v>16</v>
      </c>
      <c r="AM11">
        <v>16</v>
      </c>
      <c r="AN11">
        <v>16</v>
      </c>
      <c r="AO11">
        <v>16</v>
      </c>
      <c r="AP11">
        <v>16</v>
      </c>
      <c r="AQ11">
        <v>288</v>
      </c>
      <c r="AR11" s="3"/>
      <c r="AS11" s="3"/>
      <c r="AT11" s="3"/>
      <c r="AU11" s="3"/>
    </row>
    <row r="12" spans="1:47" x14ac:dyDescent="0.35">
      <c r="A12" s="9" t="s">
        <v>77</v>
      </c>
      <c r="B12" s="17" t="s">
        <v>121</v>
      </c>
      <c r="C12" s="9" t="s">
        <v>296</v>
      </c>
      <c r="D12" s="18">
        <v>1</v>
      </c>
      <c r="E12" s="18">
        <v>0</v>
      </c>
      <c r="F12" s="18">
        <v>0</v>
      </c>
      <c r="G12" s="18">
        <v>0</v>
      </c>
      <c r="H12" s="18">
        <v>2</v>
      </c>
      <c r="I12" s="18">
        <v>0</v>
      </c>
      <c r="J12" s="18">
        <v>0</v>
      </c>
      <c r="K12" s="18">
        <v>1</v>
      </c>
      <c r="L12" s="18">
        <v>0</v>
      </c>
      <c r="M12" s="18">
        <v>2</v>
      </c>
      <c r="N12" s="18">
        <v>1</v>
      </c>
      <c r="O12" s="18">
        <v>2</v>
      </c>
      <c r="P12" s="18">
        <v>1</v>
      </c>
      <c r="Q12" s="18">
        <v>0</v>
      </c>
      <c r="R12" s="18">
        <v>0</v>
      </c>
      <c r="S12" s="18">
        <v>0</v>
      </c>
      <c r="T12" s="18">
        <v>3</v>
      </c>
      <c r="U12" s="18">
        <v>0</v>
      </c>
      <c r="W12" s="3"/>
      <c r="X12" t="s">
        <v>303</v>
      </c>
      <c r="Y12">
        <v>10</v>
      </c>
      <c r="Z12">
        <v>10</v>
      </c>
      <c r="AA12">
        <v>0</v>
      </c>
      <c r="AB12">
        <v>8</v>
      </c>
      <c r="AC12">
        <v>4</v>
      </c>
      <c r="AD12">
        <v>0</v>
      </c>
      <c r="AE12">
        <v>10</v>
      </c>
      <c r="AF12">
        <v>48</v>
      </c>
      <c r="AG12">
        <v>11</v>
      </c>
      <c r="AH12">
        <v>6</v>
      </c>
      <c r="AI12">
        <v>26</v>
      </c>
      <c r="AJ12">
        <v>36</v>
      </c>
      <c r="AK12">
        <v>15</v>
      </c>
      <c r="AL12">
        <v>12</v>
      </c>
      <c r="AM12">
        <v>0</v>
      </c>
      <c r="AN12">
        <v>14</v>
      </c>
      <c r="AO12">
        <v>10</v>
      </c>
      <c r="AP12">
        <v>3</v>
      </c>
      <c r="AQ12">
        <v>223</v>
      </c>
      <c r="AR12" s="3"/>
      <c r="AS12" s="3"/>
      <c r="AT12" s="3"/>
      <c r="AU12" s="3"/>
    </row>
    <row r="13" spans="1:47" x14ac:dyDescent="0.35">
      <c r="A13" t="s">
        <v>85</v>
      </c>
      <c r="B13" s="17" t="s">
        <v>141</v>
      </c>
      <c r="C13" s="9" t="s">
        <v>296</v>
      </c>
      <c r="D13">
        <v>2</v>
      </c>
      <c r="E13">
        <v>0</v>
      </c>
      <c r="F13">
        <v>0</v>
      </c>
      <c r="G13">
        <v>1</v>
      </c>
      <c r="H13">
        <v>0</v>
      </c>
      <c r="I13">
        <v>0</v>
      </c>
      <c r="J13">
        <v>2</v>
      </c>
      <c r="K13">
        <v>1</v>
      </c>
      <c r="L13">
        <v>3</v>
      </c>
      <c r="M13">
        <v>0</v>
      </c>
      <c r="N13">
        <v>2</v>
      </c>
      <c r="O13">
        <v>1</v>
      </c>
      <c r="P13">
        <v>2</v>
      </c>
      <c r="Q13">
        <v>0</v>
      </c>
      <c r="R13">
        <v>0</v>
      </c>
      <c r="S13">
        <v>0</v>
      </c>
      <c r="T13">
        <v>0</v>
      </c>
      <c r="U13">
        <v>0</v>
      </c>
      <c r="W13" s="3"/>
      <c r="X13" t="s">
        <v>304</v>
      </c>
      <c r="Y13">
        <v>0.625</v>
      </c>
      <c r="Z13">
        <v>0.625</v>
      </c>
      <c r="AA13">
        <v>0</v>
      </c>
      <c r="AB13">
        <v>0.5</v>
      </c>
      <c r="AC13">
        <v>0.25</v>
      </c>
      <c r="AD13">
        <v>0</v>
      </c>
      <c r="AE13">
        <v>0.625</v>
      </c>
      <c r="AF13">
        <v>3</v>
      </c>
      <c r="AG13">
        <v>0.6875</v>
      </c>
      <c r="AH13">
        <v>0.375</v>
      </c>
      <c r="AI13">
        <v>1.625</v>
      </c>
      <c r="AJ13">
        <v>2.25</v>
      </c>
      <c r="AK13">
        <v>0.9375</v>
      </c>
      <c r="AL13">
        <v>0.75</v>
      </c>
      <c r="AM13">
        <v>0</v>
      </c>
      <c r="AN13">
        <v>0.875</v>
      </c>
      <c r="AO13">
        <v>0.625</v>
      </c>
      <c r="AP13">
        <v>0.1875</v>
      </c>
      <c r="AQ13">
        <v>0.77430555555555558</v>
      </c>
      <c r="AR13" s="3"/>
      <c r="AS13" s="3"/>
      <c r="AT13" s="3"/>
      <c r="AU13" s="3"/>
    </row>
    <row r="14" spans="1:47" x14ac:dyDescent="0.35">
      <c r="A14" t="s">
        <v>83</v>
      </c>
      <c r="B14" s="17" t="s">
        <v>140</v>
      </c>
      <c r="C14" s="9" t="s">
        <v>296</v>
      </c>
      <c r="D14">
        <v>1</v>
      </c>
      <c r="E14">
        <v>2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2</v>
      </c>
      <c r="M14">
        <v>0</v>
      </c>
      <c r="N14">
        <v>3</v>
      </c>
      <c r="O14">
        <v>2</v>
      </c>
      <c r="P14">
        <v>1</v>
      </c>
      <c r="Q14">
        <v>2</v>
      </c>
      <c r="R14">
        <v>0</v>
      </c>
      <c r="S14">
        <v>0</v>
      </c>
      <c r="T14">
        <v>0</v>
      </c>
      <c r="U14">
        <v>0</v>
      </c>
      <c r="W14" s="3"/>
      <c r="X14" t="s">
        <v>305</v>
      </c>
      <c r="Y14">
        <v>0.51666666666666672</v>
      </c>
      <c r="Z14">
        <v>1.3166666666666667</v>
      </c>
      <c r="AA14">
        <v>0</v>
      </c>
      <c r="AB14">
        <v>0.53333333333333333</v>
      </c>
      <c r="AC14">
        <v>0.33333333333333331</v>
      </c>
      <c r="AD14">
        <v>0</v>
      </c>
      <c r="AE14">
        <v>0.38333333333333336</v>
      </c>
      <c r="AF14">
        <v>0.66666666666666663</v>
      </c>
      <c r="AG14">
        <v>1.0291666666666666</v>
      </c>
      <c r="AH14">
        <v>0.38333333333333336</v>
      </c>
      <c r="AI14">
        <v>0.38333333333333336</v>
      </c>
      <c r="AJ14">
        <v>0.2</v>
      </c>
      <c r="AK14">
        <v>0.99583333333333335</v>
      </c>
      <c r="AL14">
        <v>1.6666666666666667</v>
      </c>
      <c r="AM14">
        <v>0</v>
      </c>
      <c r="AN14">
        <v>1.45</v>
      </c>
      <c r="AO14">
        <v>0.91666666666666663</v>
      </c>
      <c r="AP14">
        <v>0.5625</v>
      </c>
      <c r="AQ14">
        <v>1.1858183313975996</v>
      </c>
      <c r="AR14" s="3"/>
      <c r="AS14" s="3"/>
      <c r="AT14" s="3"/>
      <c r="AU14" s="3"/>
    </row>
    <row r="15" spans="1:47" x14ac:dyDescent="0.35">
      <c r="A15" s="3" t="s">
        <v>107</v>
      </c>
      <c r="B15" s="17" t="s">
        <v>146</v>
      </c>
      <c r="C15" s="9" t="s">
        <v>296</v>
      </c>
      <c r="D15" s="3">
        <v>1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2</v>
      </c>
      <c r="N15" s="3">
        <v>3</v>
      </c>
      <c r="O15" s="3">
        <v>2</v>
      </c>
      <c r="P15" s="3">
        <v>3</v>
      </c>
      <c r="Q15" s="3">
        <v>0</v>
      </c>
      <c r="R15" s="3">
        <v>0</v>
      </c>
      <c r="S15" s="3">
        <v>0</v>
      </c>
      <c r="T15" s="3">
        <v>1</v>
      </c>
      <c r="U15" s="3">
        <v>0</v>
      </c>
      <c r="W15" s="3"/>
      <c r="AR15" s="3"/>
      <c r="AS15" s="3"/>
      <c r="AT15" s="3"/>
      <c r="AU15" s="3"/>
    </row>
    <row r="16" spans="1:47" ht="15" thickBot="1" x14ac:dyDescent="0.4">
      <c r="A16" s="3" t="s">
        <v>93</v>
      </c>
      <c r="B16" s="17" t="s">
        <v>144</v>
      </c>
      <c r="C16" s="9" t="s">
        <v>296</v>
      </c>
      <c r="D16" s="3">
        <v>2</v>
      </c>
      <c r="E16" s="3">
        <v>0</v>
      </c>
      <c r="F16" s="3">
        <v>0</v>
      </c>
      <c r="G16" s="3">
        <v>1</v>
      </c>
      <c r="H16" s="3">
        <v>0</v>
      </c>
      <c r="I16" s="3">
        <v>0</v>
      </c>
      <c r="J16" s="3">
        <v>0</v>
      </c>
      <c r="K16" s="3">
        <v>1</v>
      </c>
      <c r="L16" s="3">
        <v>0</v>
      </c>
      <c r="M16" s="3">
        <v>1</v>
      </c>
      <c r="N16" s="3">
        <v>1</v>
      </c>
      <c r="O16" s="3">
        <v>2</v>
      </c>
      <c r="P16" s="3">
        <v>2</v>
      </c>
      <c r="Q16" s="3">
        <v>0</v>
      </c>
      <c r="R16" s="3">
        <v>0</v>
      </c>
      <c r="S16" s="3">
        <v>1</v>
      </c>
      <c r="T16" s="3">
        <v>1</v>
      </c>
      <c r="U16" s="3">
        <v>0</v>
      </c>
      <c r="W16" s="3"/>
      <c r="X16" s="77" t="s">
        <v>301</v>
      </c>
      <c r="Y16" s="77"/>
      <c r="Z16" s="77"/>
      <c r="AA16" s="77"/>
      <c r="AP16" s="3"/>
      <c r="AQ16" s="3"/>
      <c r="AR16" s="3"/>
      <c r="AS16" s="3"/>
      <c r="AT16" s="3"/>
      <c r="AU16" s="3"/>
    </row>
    <row r="17" spans="1:47" x14ac:dyDescent="0.35">
      <c r="A17" s="9" t="s">
        <v>6</v>
      </c>
      <c r="B17" s="17" t="s">
        <v>122</v>
      </c>
      <c r="C17" s="9" t="s">
        <v>296</v>
      </c>
      <c r="D17" s="18">
        <v>1</v>
      </c>
      <c r="E17" s="18">
        <v>0</v>
      </c>
      <c r="F17" s="18">
        <v>0</v>
      </c>
      <c r="G17" s="18">
        <v>2</v>
      </c>
      <c r="H17" s="18">
        <v>0</v>
      </c>
      <c r="I17" s="18">
        <v>0</v>
      </c>
      <c r="J17" s="18">
        <v>1</v>
      </c>
      <c r="K17" s="18">
        <v>1</v>
      </c>
      <c r="L17" s="18">
        <v>0</v>
      </c>
      <c r="M17" s="18">
        <v>1</v>
      </c>
      <c r="N17" s="18">
        <v>4</v>
      </c>
      <c r="O17" s="18">
        <v>1</v>
      </c>
      <c r="P17" s="18">
        <v>0</v>
      </c>
      <c r="Q17" s="18">
        <v>0</v>
      </c>
      <c r="R17" s="18">
        <v>0</v>
      </c>
      <c r="S17" s="18">
        <v>4</v>
      </c>
      <c r="T17" s="18">
        <v>0</v>
      </c>
      <c r="U17" s="18">
        <v>0</v>
      </c>
      <c r="W17" s="3"/>
      <c r="X17" t="s">
        <v>302</v>
      </c>
      <c r="Y17">
        <v>32</v>
      </c>
      <c r="Z17">
        <v>32</v>
      </c>
      <c r="AA17">
        <v>32</v>
      </c>
      <c r="AB17">
        <v>32</v>
      </c>
      <c r="AC17">
        <v>32</v>
      </c>
      <c r="AD17">
        <v>32</v>
      </c>
      <c r="AE17">
        <v>32</v>
      </c>
      <c r="AF17">
        <v>32</v>
      </c>
      <c r="AG17">
        <v>32</v>
      </c>
      <c r="AH17">
        <v>32</v>
      </c>
      <c r="AI17">
        <v>32</v>
      </c>
      <c r="AJ17">
        <v>32</v>
      </c>
      <c r="AK17">
        <v>32</v>
      </c>
      <c r="AL17">
        <v>32</v>
      </c>
      <c r="AM17">
        <v>32</v>
      </c>
      <c r="AN17">
        <v>32</v>
      </c>
      <c r="AO17">
        <v>32</v>
      </c>
      <c r="AP17" s="3">
        <v>32</v>
      </c>
      <c r="AQ17" s="3"/>
      <c r="AR17" s="3"/>
      <c r="AS17" s="3"/>
      <c r="AT17" s="3"/>
      <c r="AU17" s="3"/>
    </row>
    <row r="18" spans="1:47" x14ac:dyDescent="0.35">
      <c r="A18" s="9" t="s">
        <v>10</v>
      </c>
      <c r="B18" s="17" t="s">
        <v>124</v>
      </c>
      <c r="C18" s="9" t="s">
        <v>297</v>
      </c>
      <c r="D18" s="18">
        <v>0</v>
      </c>
      <c r="E18" s="18">
        <v>0</v>
      </c>
      <c r="F18" s="18">
        <v>0</v>
      </c>
      <c r="G18" s="18">
        <v>1</v>
      </c>
      <c r="H18" s="18">
        <v>1</v>
      </c>
      <c r="I18" s="18">
        <v>0</v>
      </c>
      <c r="J18" s="18">
        <v>0</v>
      </c>
      <c r="K18" s="18">
        <v>2</v>
      </c>
      <c r="L18" s="18">
        <v>0</v>
      </c>
      <c r="M18" s="18">
        <v>2</v>
      </c>
      <c r="N18" s="18">
        <v>1</v>
      </c>
      <c r="O18" s="18">
        <v>3</v>
      </c>
      <c r="P18" s="18">
        <v>0</v>
      </c>
      <c r="Q18" s="18">
        <v>0</v>
      </c>
      <c r="R18" s="18">
        <v>0</v>
      </c>
      <c r="S18" s="18">
        <v>3</v>
      </c>
      <c r="T18" s="18">
        <v>3</v>
      </c>
      <c r="U18" s="18">
        <v>0</v>
      </c>
      <c r="W18" s="3"/>
      <c r="X18" t="s">
        <v>303</v>
      </c>
      <c r="Y18">
        <v>26</v>
      </c>
      <c r="Z18">
        <v>23</v>
      </c>
      <c r="AA18">
        <v>0</v>
      </c>
      <c r="AB18">
        <v>14</v>
      </c>
      <c r="AC18">
        <v>13</v>
      </c>
      <c r="AD18">
        <v>0</v>
      </c>
      <c r="AE18">
        <v>24</v>
      </c>
      <c r="AF18">
        <v>63</v>
      </c>
      <c r="AG18">
        <v>29</v>
      </c>
      <c r="AH18">
        <v>19</v>
      </c>
      <c r="AI18">
        <v>60</v>
      </c>
      <c r="AJ18">
        <v>62</v>
      </c>
      <c r="AK18">
        <v>38</v>
      </c>
      <c r="AL18">
        <v>27</v>
      </c>
      <c r="AM18">
        <v>0</v>
      </c>
      <c r="AN18">
        <v>21</v>
      </c>
      <c r="AO18">
        <v>20</v>
      </c>
      <c r="AP18" s="3">
        <v>5</v>
      </c>
      <c r="AQ18" s="3"/>
      <c r="AR18" s="3"/>
      <c r="AS18" s="3"/>
      <c r="AT18" s="3"/>
      <c r="AU18" s="3"/>
    </row>
    <row r="19" spans="1:47" x14ac:dyDescent="0.35">
      <c r="A19" s="9" t="s">
        <v>9</v>
      </c>
      <c r="B19" s="17" t="s">
        <v>123</v>
      </c>
      <c r="C19" s="9" t="s">
        <v>297</v>
      </c>
      <c r="D19" s="18">
        <v>0</v>
      </c>
      <c r="E19" s="18">
        <v>0</v>
      </c>
      <c r="F19" s="18">
        <v>0</v>
      </c>
      <c r="G19" s="18">
        <v>2</v>
      </c>
      <c r="H19" s="18">
        <v>0</v>
      </c>
      <c r="I19" s="18">
        <v>0</v>
      </c>
      <c r="J19" s="18">
        <v>1</v>
      </c>
      <c r="K19" s="18">
        <v>3</v>
      </c>
      <c r="L19" s="18">
        <v>0</v>
      </c>
      <c r="M19" s="18">
        <v>1</v>
      </c>
      <c r="N19" s="18">
        <v>2</v>
      </c>
      <c r="O19" s="18">
        <v>2</v>
      </c>
      <c r="P19" s="18">
        <v>1</v>
      </c>
      <c r="Q19" s="18">
        <v>1</v>
      </c>
      <c r="R19" s="18">
        <v>0</v>
      </c>
      <c r="S19" s="18">
        <v>2</v>
      </c>
      <c r="T19" s="18">
        <v>0</v>
      </c>
      <c r="U19" s="18">
        <v>0</v>
      </c>
      <c r="W19" s="3"/>
      <c r="X19" t="s">
        <v>304</v>
      </c>
      <c r="Y19">
        <v>0.8125</v>
      </c>
      <c r="Z19">
        <v>0.71875</v>
      </c>
      <c r="AA19">
        <v>0</v>
      </c>
      <c r="AB19">
        <v>0.4375</v>
      </c>
      <c r="AC19">
        <v>0.40625</v>
      </c>
      <c r="AD19">
        <v>0</v>
      </c>
      <c r="AE19">
        <v>0.75</v>
      </c>
      <c r="AF19">
        <v>1.96875</v>
      </c>
      <c r="AG19">
        <v>0.90625</v>
      </c>
      <c r="AH19">
        <v>0.59375</v>
      </c>
      <c r="AI19">
        <v>1.875</v>
      </c>
      <c r="AJ19">
        <v>1.9375</v>
      </c>
      <c r="AK19">
        <v>1.1875</v>
      </c>
      <c r="AL19">
        <v>0.84375</v>
      </c>
      <c r="AM19">
        <v>0</v>
      </c>
      <c r="AN19">
        <v>0.65625</v>
      </c>
      <c r="AO19">
        <v>0.625</v>
      </c>
      <c r="AP19" s="3">
        <v>0.15625</v>
      </c>
      <c r="AQ19" s="3"/>
      <c r="AR19" s="3"/>
      <c r="AS19" s="3"/>
      <c r="AT19" s="3"/>
      <c r="AU19" s="3"/>
    </row>
    <row r="20" spans="1:47" x14ac:dyDescent="0.35">
      <c r="A20" t="s">
        <v>88</v>
      </c>
      <c r="B20" s="17" t="s">
        <v>142</v>
      </c>
      <c r="C20" s="9" t="s">
        <v>297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3</v>
      </c>
      <c r="L20">
        <v>3</v>
      </c>
      <c r="M20">
        <v>0</v>
      </c>
      <c r="N20">
        <v>2</v>
      </c>
      <c r="O20">
        <v>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W20" s="3"/>
      <c r="X20" t="s">
        <v>305</v>
      </c>
      <c r="Y20">
        <v>0.54435483870967738</v>
      </c>
      <c r="Z20">
        <v>1.3699596774193548</v>
      </c>
      <c r="AA20">
        <v>0</v>
      </c>
      <c r="AB20">
        <v>0.44758064516129031</v>
      </c>
      <c r="AC20">
        <v>0.57157258064516125</v>
      </c>
      <c r="AD20">
        <v>0</v>
      </c>
      <c r="AE20">
        <v>0.5161290322580645</v>
      </c>
      <c r="AF20">
        <v>1.7086693548387097</v>
      </c>
      <c r="AG20">
        <v>1.184475806451613</v>
      </c>
      <c r="AH20">
        <v>0.70060483870967738</v>
      </c>
      <c r="AI20">
        <v>0.69354838709677424</v>
      </c>
      <c r="AJ20">
        <v>0.38306451612903225</v>
      </c>
      <c r="AK20">
        <v>1.2540322580645162</v>
      </c>
      <c r="AL20">
        <v>1.748991935483871</v>
      </c>
      <c r="AM20">
        <v>0</v>
      </c>
      <c r="AN20">
        <v>1.2651209677419355</v>
      </c>
      <c r="AO20">
        <v>0.88709677419354838</v>
      </c>
      <c r="AP20" s="3">
        <v>0.39415322580645162</v>
      </c>
      <c r="AQ20" s="3"/>
      <c r="AR20" s="3"/>
      <c r="AS20" s="3"/>
      <c r="AT20" s="3"/>
      <c r="AU20" s="3"/>
    </row>
    <row r="21" spans="1:47" x14ac:dyDescent="0.35">
      <c r="A21" s="9" t="s">
        <v>74</v>
      </c>
      <c r="B21" s="17" t="s">
        <v>119</v>
      </c>
      <c r="C21" s="9" t="s">
        <v>297</v>
      </c>
      <c r="D21" s="18">
        <v>1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3</v>
      </c>
      <c r="L21" s="18">
        <v>1</v>
      </c>
      <c r="M21" s="18">
        <v>0</v>
      </c>
      <c r="N21" s="18">
        <v>1</v>
      </c>
      <c r="O21" s="18">
        <v>3</v>
      </c>
      <c r="P21" s="18">
        <v>2</v>
      </c>
      <c r="Q21" s="18">
        <v>0</v>
      </c>
      <c r="R21" s="18">
        <v>0</v>
      </c>
      <c r="S21" s="18">
        <v>1</v>
      </c>
      <c r="T21" s="18">
        <v>0</v>
      </c>
      <c r="U21" s="18">
        <v>0</v>
      </c>
      <c r="W21" s="3"/>
    </row>
    <row r="22" spans="1:47" x14ac:dyDescent="0.35">
      <c r="A22" s="9" t="s">
        <v>5</v>
      </c>
      <c r="B22" s="17" t="s">
        <v>125</v>
      </c>
      <c r="C22" s="9" t="s">
        <v>297</v>
      </c>
      <c r="D22" s="18">
        <v>0</v>
      </c>
      <c r="E22" s="18">
        <v>4</v>
      </c>
      <c r="F22" s="18">
        <v>0</v>
      </c>
      <c r="G22" s="18">
        <v>0</v>
      </c>
      <c r="H22" s="18">
        <v>0</v>
      </c>
      <c r="I22" s="18">
        <v>0</v>
      </c>
      <c r="J22" s="18">
        <v>1</v>
      </c>
      <c r="K22" s="18">
        <v>2</v>
      </c>
      <c r="L22" s="18">
        <v>0</v>
      </c>
      <c r="M22" s="18">
        <v>1</v>
      </c>
      <c r="N22" s="18">
        <v>1</v>
      </c>
      <c r="O22" s="18">
        <v>3</v>
      </c>
      <c r="P22" s="18">
        <v>0</v>
      </c>
      <c r="Q22" s="18">
        <v>5</v>
      </c>
      <c r="R22" s="18">
        <v>0</v>
      </c>
      <c r="S22" s="18">
        <v>0</v>
      </c>
      <c r="T22" s="18">
        <v>0</v>
      </c>
      <c r="U22" s="18">
        <v>0</v>
      </c>
      <c r="W22" s="3"/>
    </row>
    <row r="23" spans="1:47" ht="15" thickBot="1" x14ac:dyDescent="0.4">
      <c r="A23" s="9" t="s">
        <v>76</v>
      </c>
      <c r="B23" s="17" t="s">
        <v>120</v>
      </c>
      <c r="C23" s="9" t="s">
        <v>297</v>
      </c>
      <c r="D23" s="18">
        <v>0</v>
      </c>
      <c r="E23" s="18">
        <v>2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4</v>
      </c>
      <c r="L23" s="18">
        <v>0</v>
      </c>
      <c r="M23" s="18">
        <v>0</v>
      </c>
      <c r="N23" s="18">
        <v>1</v>
      </c>
      <c r="O23" s="18">
        <v>2</v>
      </c>
      <c r="P23" s="18">
        <v>0</v>
      </c>
      <c r="Q23" s="18">
        <v>1</v>
      </c>
      <c r="R23" s="18">
        <v>0</v>
      </c>
      <c r="S23" s="18">
        <v>0</v>
      </c>
      <c r="T23" s="18">
        <v>0</v>
      </c>
      <c r="U23" s="18">
        <v>3</v>
      </c>
      <c r="X23" t="s">
        <v>313</v>
      </c>
    </row>
    <row r="24" spans="1:47" x14ac:dyDescent="0.35">
      <c r="A24" t="s">
        <v>82</v>
      </c>
      <c r="B24" s="17" t="s">
        <v>139</v>
      </c>
      <c r="C24" s="9" t="s">
        <v>297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1</v>
      </c>
      <c r="K24">
        <v>3</v>
      </c>
      <c r="L24">
        <v>0</v>
      </c>
      <c r="M24">
        <v>0</v>
      </c>
      <c r="N24">
        <v>2</v>
      </c>
      <c r="O24">
        <v>2</v>
      </c>
      <c r="P24">
        <v>1</v>
      </c>
      <c r="Q24">
        <v>1</v>
      </c>
      <c r="R24">
        <v>0</v>
      </c>
      <c r="S24">
        <v>0</v>
      </c>
      <c r="T24">
        <v>1</v>
      </c>
      <c r="U24">
        <v>0</v>
      </c>
      <c r="X24" s="79" t="s">
        <v>306</v>
      </c>
      <c r="Y24" s="79" t="s">
        <v>307</v>
      </c>
      <c r="Z24" s="79" t="s">
        <v>308</v>
      </c>
      <c r="AA24" s="79" t="s">
        <v>309</v>
      </c>
      <c r="AB24" s="79" t="s">
        <v>183</v>
      </c>
      <c r="AC24" s="79" t="s">
        <v>314</v>
      </c>
      <c r="AD24" s="79" t="s">
        <v>310</v>
      </c>
    </row>
    <row r="25" spans="1:47" x14ac:dyDescent="0.35">
      <c r="A25" s="3" t="s">
        <v>92</v>
      </c>
      <c r="B25" s="17" t="s">
        <v>145</v>
      </c>
      <c r="C25" s="9" t="s">
        <v>297</v>
      </c>
      <c r="D25" s="3">
        <v>1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3</v>
      </c>
      <c r="L25" s="3">
        <v>0</v>
      </c>
      <c r="M25" s="3">
        <v>0</v>
      </c>
      <c r="N25" s="3">
        <v>2</v>
      </c>
      <c r="O25" s="3">
        <v>2</v>
      </c>
      <c r="P25" s="3">
        <v>2</v>
      </c>
      <c r="Q25" s="3">
        <v>1</v>
      </c>
      <c r="R25" s="3">
        <v>0</v>
      </c>
      <c r="S25" s="3">
        <v>0</v>
      </c>
      <c r="T25" s="3">
        <v>0</v>
      </c>
      <c r="U25" s="3">
        <v>0</v>
      </c>
      <c r="X25" t="s">
        <v>315</v>
      </c>
      <c r="Y25">
        <v>6.9444444452528842E-3</v>
      </c>
      <c r="Z25">
        <v>1</v>
      </c>
      <c r="AA25">
        <v>6.9444444452528842E-3</v>
      </c>
      <c r="AB25">
        <v>1.000333444597948E-2</v>
      </c>
      <c r="AC25" s="80">
        <v>0.92036821038231753</v>
      </c>
      <c r="AD25">
        <v>3.8587368267692503</v>
      </c>
    </row>
    <row r="26" spans="1:47" x14ac:dyDescent="0.35">
      <c r="A26" s="3" t="s">
        <v>90</v>
      </c>
      <c r="B26" s="17" t="s">
        <v>143</v>
      </c>
      <c r="C26" s="9" t="s">
        <v>297</v>
      </c>
      <c r="D26" s="3">
        <v>1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1</v>
      </c>
      <c r="K26" s="3">
        <v>4</v>
      </c>
      <c r="L26" s="3">
        <v>1</v>
      </c>
      <c r="M26" s="3">
        <v>0</v>
      </c>
      <c r="N26" s="3">
        <v>2</v>
      </c>
      <c r="O26" s="3">
        <v>2</v>
      </c>
      <c r="P26" s="3">
        <v>1</v>
      </c>
      <c r="Q26" s="3">
        <v>0</v>
      </c>
      <c r="R26" s="3">
        <v>0</v>
      </c>
      <c r="S26" s="3">
        <v>1</v>
      </c>
      <c r="T26" s="3">
        <v>1</v>
      </c>
      <c r="U26" s="3">
        <v>0</v>
      </c>
      <c r="X26" t="s">
        <v>316</v>
      </c>
      <c r="Y26">
        <v>214.00000000000091</v>
      </c>
      <c r="Z26">
        <v>17</v>
      </c>
      <c r="AA26">
        <v>12.5882352941177</v>
      </c>
      <c r="AB26">
        <v>18.133103191259909</v>
      </c>
      <c r="AC26">
        <v>8.0588685637564229E-43</v>
      </c>
      <c r="AD26">
        <v>1.6417145224224161</v>
      </c>
    </row>
    <row r="27" spans="1:47" x14ac:dyDescent="0.35">
      <c r="A27" t="s">
        <v>80</v>
      </c>
      <c r="B27" s="17" t="s">
        <v>138</v>
      </c>
      <c r="C27" s="9" t="s">
        <v>297</v>
      </c>
      <c r="D27">
        <v>1</v>
      </c>
      <c r="E27">
        <v>1</v>
      </c>
      <c r="F27">
        <v>0</v>
      </c>
      <c r="G27">
        <v>0</v>
      </c>
      <c r="H27">
        <v>1</v>
      </c>
      <c r="I27">
        <v>0</v>
      </c>
      <c r="J27">
        <v>1</v>
      </c>
      <c r="K27">
        <v>2</v>
      </c>
      <c r="L27">
        <v>2</v>
      </c>
      <c r="M27">
        <v>0</v>
      </c>
      <c r="N27">
        <v>2</v>
      </c>
      <c r="O27">
        <v>2</v>
      </c>
      <c r="P27">
        <v>0</v>
      </c>
      <c r="Q27">
        <v>1</v>
      </c>
      <c r="R27">
        <v>0</v>
      </c>
      <c r="S27">
        <v>0</v>
      </c>
      <c r="T27">
        <v>1</v>
      </c>
      <c r="U27">
        <v>0</v>
      </c>
      <c r="X27" t="s">
        <v>311</v>
      </c>
      <c r="Y27">
        <v>48.868055555554747</v>
      </c>
      <c r="Z27">
        <v>17</v>
      </c>
      <c r="AA27">
        <v>2.8745915032679261</v>
      </c>
      <c r="AB27">
        <v>4.140792028715385</v>
      </c>
      <c r="AC27" s="80">
        <v>6.8324902074758215E-8</v>
      </c>
      <c r="AD27">
        <v>1.6417145224224161</v>
      </c>
    </row>
    <row r="28" spans="1:47" x14ac:dyDescent="0.35">
      <c r="A28" s="9" t="s">
        <v>78</v>
      </c>
      <c r="B28" s="17" t="s">
        <v>121</v>
      </c>
      <c r="C28" s="9" t="s">
        <v>297</v>
      </c>
      <c r="D28" s="18">
        <v>0</v>
      </c>
      <c r="E28" s="18">
        <v>0</v>
      </c>
      <c r="F28" s="18">
        <v>0</v>
      </c>
      <c r="G28" s="18">
        <v>0</v>
      </c>
      <c r="H28" s="18">
        <v>2</v>
      </c>
      <c r="I28" s="18">
        <v>0</v>
      </c>
      <c r="J28" s="18">
        <v>0</v>
      </c>
      <c r="K28" s="18">
        <v>2</v>
      </c>
      <c r="L28" s="18">
        <v>0</v>
      </c>
      <c r="M28" s="18">
        <v>1</v>
      </c>
      <c r="N28" s="18">
        <v>1</v>
      </c>
      <c r="O28" s="18">
        <v>2</v>
      </c>
      <c r="P28" s="18">
        <v>0</v>
      </c>
      <c r="Q28" s="18">
        <v>0</v>
      </c>
      <c r="R28" s="18">
        <v>0</v>
      </c>
      <c r="S28" s="18">
        <v>0</v>
      </c>
      <c r="T28" s="18">
        <v>2</v>
      </c>
      <c r="U28" s="18">
        <v>0</v>
      </c>
      <c r="X28" t="s">
        <v>312</v>
      </c>
      <c r="Y28">
        <v>374.875</v>
      </c>
      <c r="Z28">
        <v>540</v>
      </c>
      <c r="AA28">
        <v>0.69421296296296298</v>
      </c>
    </row>
    <row r="29" spans="1:47" x14ac:dyDescent="0.35">
      <c r="A29" t="s">
        <v>86</v>
      </c>
      <c r="B29" s="17" t="s">
        <v>141</v>
      </c>
      <c r="C29" s="9" t="s">
        <v>297</v>
      </c>
      <c r="D29">
        <v>2</v>
      </c>
      <c r="E29">
        <v>0</v>
      </c>
      <c r="F29">
        <v>0</v>
      </c>
      <c r="G29">
        <v>1</v>
      </c>
      <c r="H29">
        <v>0</v>
      </c>
      <c r="I29">
        <v>0</v>
      </c>
      <c r="J29">
        <v>1</v>
      </c>
      <c r="K29">
        <v>4</v>
      </c>
      <c r="L29">
        <v>2</v>
      </c>
      <c r="M29">
        <v>0</v>
      </c>
      <c r="N29">
        <v>2</v>
      </c>
      <c r="O29">
        <v>2</v>
      </c>
      <c r="P29">
        <v>2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47" ht="15" thickBot="1" x14ac:dyDescent="0.4">
      <c r="A30" t="s">
        <v>84</v>
      </c>
      <c r="B30" s="17" t="s">
        <v>140</v>
      </c>
      <c r="C30" s="9" t="s">
        <v>297</v>
      </c>
      <c r="D30">
        <v>1</v>
      </c>
      <c r="E30">
        <v>2</v>
      </c>
      <c r="F30">
        <v>0</v>
      </c>
      <c r="G30">
        <v>0</v>
      </c>
      <c r="H30">
        <v>0</v>
      </c>
      <c r="I30">
        <v>0</v>
      </c>
      <c r="J30">
        <v>1</v>
      </c>
      <c r="K30">
        <v>3</v>
      </c>
      <c r="L30">
        <v>2</v>
      </c>
      <c r="M30">
        <v>0</v>
      </c>
      <c r="N30">
        <v>2</v>
      </c>
      <c r="O30">
        <v>2</v>
      </c>
      <c r="P30">
        <v>1</v>
      </c>
      <c r="Q30">
        <v>2</v>
      </c>
      <c r="R30">
        <v>0</v>
      </c>
      <c r="S30">
        <v>0</v>
      </c>
      <c r="T30">
        <v>0</v>
      </c>
      <c r="U30">
        <v>0</v>
      </c>
      <c r="X30" s="78" t="s">
        <v>301</v>
      </c>
      <c r="Y30" s="78">
        <v>637.75000000000091</v>
      </c>
      <c r="Z30" s="78">
        <v>575</v>
      </c>
      <c r="AA30" s="78"/>
      <c r="AB30" s="78"/>
      <c r="AC30" s="78"/>
      <c r="AD30" s="78"/>
    </row>
    <row r="31" spans="1:47" x14ac:dyDescent="0.35">
      <c r="A31" s="3" t="s">
        <v>95</v>
      </c>
      <c r="B31" s="17" t="s">
        <v>146</v>
      </c>
      <c r="C31" s="9" t="s">
        <v>297</v>
      </c>
      <c r="D31" s="3">
        <v>1</v>
      </c>
      <c r="E31" s="3">
        <v>0</v>
      </c>
      <c r="F31" s="3">
        <v>0</v>
      </c>
      <c r="G31" s="3">
        <v>1</v>
      </c>
      <c r="H31" s="3">
        <v>0</v>
      </c>
      <c r="I31" s="3">
        <v>0</v>
      </c>
      <c r="J31" s="3">
        <v>0</v>
      </c>
      <c r="K31" s="3">
        <v>4</v>
      </c>
      <c r="L31" s="3">
        <v>0</v>
      </c>
      <c r="M31" s="3">
        <v>1</v>
      </c>
      <c r="N31" s="3">
        <v>1</v>
      </c>
      <c r="O31" s="3">
        <v>2</v>
      </c>
      <c r="P31" s="3">
        <v>2</v>
      </c>
      <c r="Q31" s="3">
        <v>0</v>
      </c>
      <c r="R31" s="3">
        <v>0</v>
      </c>
      <c r="S31" s="3">
        <v>1</v>
      </c>
      <c r="T31" s="3">
        <v>0</v>
      </c>
      <c r="U31" s="3">
        <v>0</v>
      </c>
    </row>
    <row r="32" spans="1:47" x14ac:dyDescent="0.35">
      <c r="A32" s="3" t="s">
        <v>94</v>
      </c>
      <c r="B32" s="17" t="s">
        <v>144</v>
      </c>
      <c r="C32" s="9" t="s">
        <v>297</v>
      </c>
      <c r="D32" s="3">
        <v>2</v>
      </c>
      <c r="E32" s="3">
        <v>0</v>
      </c>
      <c r="F32" s="3">
        <v>0</v>
      </c>
      <c r="G32" s="3">
        <v>2</v>
      </c>
      <c r="H32" s="3">
        <v>0</v>
      </c>
      <c r="I32" s="3">
        <v>0</v>
      </c>
      <c r="J32" s="3">
        <v>0</v>
      </c>
      <c r="K32" s="3">
        <v>4</v>
      </c>
      <c r="L32" s="3">
        <v>0</v>
      </c>
      <c r="M32" s="3">
        <v>0</v>
      </c>
      <c r="N32" s="3">
        <v>1</v>
      </c>
      <c r="O32" s="3">
        <v>3</v>
      </c>
      <c r="P32" s="3">
        <v>3</v>
      </c>
      <c r="Q32" s="3">
        <v>0</v>
      </c>
      <c r="R32" s="3">
        <v>0</v>
      </c>
      <c r="S32" s="3">
        <v>3</v>
      </c>
      <c r="T32" s="3">
        <v>2</v>
      </c>
      <c r="U32" s="3">
        <v>0</v>
      </c>
    </row>
    <row r="33" spans="1:21" x14ac:dyDescent="0.35">
      <c r="A33" s="9" t="s">
        <v>7</v>
      </c>
      <c r="B33" s="17" t="s">
        <v>122</v>
      </c>
      <c r="C33" s="9" t="s">
        <v>297</v>
      </c>
      <c r="D33" s="18">
        <v>0</v>
      </c>
      <c r="E33" s="18">
        <v>0</v>
      </c>
      <c r="F33" s="18">
        <v>0</v>
      </c>
      <c r="G33" s="18">
        <v>1</v>
      </c>
      <c r="H33" s="18">
        <v>0</v>
      </c>
      <c r="I33" s="18">
        <v>0</v>
      </c>
      <c r="J33" s="18">
        <v>2</v>
      </c>
      <c r="K33" s="18">
        <v>2</v>
      </c>
      <c r="L33" s="18">
        <v>0</v>
      </c>
      <c r="M33" s="18">
        <v>0</v>
      </c>
      <c r="N33" s="18">
        <v>3</v>
      </c>
      <c r="O33" s="18">
        <v>2</v>
      </c>
      <c r="P33" s="18">
        <v>0</v>
      </c>
      <c r="Q33" s="18">
        <v>0</v>
      </c>
      <c r="R33" s="18">
        <v>0</v>
      </c>
      <c r="S33" s="18">
        <v>3</v>
      </c>
      <c r="T33" s="18">
        <v>0</v>
      </c>
      <c r="U33" s="18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004A3-1C7E-4B37-8137-7001373643E8}">
  <dimension ref="A1:AH25"/>
  <sheetViews>
    <sheetView zoomScale="70" zoomScaleNormal="70" workbookViewId="0">
      <selection activeCell="I2" sqref="I2:AH22"/>
    </sheetView>
  </sheetViews>
  <sheetFormatPr defaultRowHeight="14.5" x14ac:dyDescent="0.35"/>
  <cols>
    <col min="1" max="1" width="14.453125" bestFit="1" customWidth="1"/>
    <col min="2" max="3" width="8.453125" bestFit="1" customWidth="1"/>
    <col min="4" max="4" width="8.1796875" bestFit="1" customWidth="1"/>
    <col min="5" max="5" width="5.54296875" bestFit="1" customWidth="1"/>
    <col min="6" max="6" width="8.7265625" bestFit="1" customWidth="1"/>
    <col min="7" max="7" width="7" bestFit="1" customWidth="1"/>
    <col min="8" max="8" width="7.26953125" bestFit="1" customWidth="1"/>
    <col min="9" max="9" width="4.81640625" bestFit="1" customWidth="1"/>
    <col min="11" max="11" width="8.7265625" bestFit="1" customWidth="1"/>
    <col min="12" max="12" width="11.7265625" bestFit="1" customWidth="1"/>
    <col min="14" max="14" width="12" bestFit="1" customWidth="1"/>
    <col min="15" max="15" width="11.453125" bestFit="1" customWidth="1"/>
    <col min="16" max="16" width="12.54296875" bestFit="1" customWidth="1"/>
    <col min="17" max="17" width="9.7265625" bestFit="1" customWidth="1"/>
    <col min="18" max="18" width="12.54296875" bestFit="1" customWidth="1"/>
    <col min="20" max="20" width="11.7265625" bestFit="1" customWidth="1"/>
    <col min="21" max="21" width="11.453125" bestFit="1" customWidth="1"/>
    <col min="22" max="22" width="12.453125" bestFit="1" customWidth="1"/>
    <col min="23" max="23" width="9.7265625" bestFit="1" customWidth="1"/>
    <col min="24" max="24" width="12.453125" bestFit="1" customWidth="1"/>
    <col min="26" max="26" width="11.26953125" bestFit="1" customWidth="1"/>
    <col min="27" max="27" width="8.7265625" bestFit="1" customWidth="1"/>
    <col min="28" max="28" width="11.7265625" bestFit="1" customWidth="1"/>
    <col min="29" max="29" width="10.1796875" bestFit="1" customWidth="1"/>
    <col min="30" max="30" width="11.7265625" bestFit="1" customWidth="1"/>
    <col min="31" max="31" width="13.26953125" bestFit="1" customWidth="1"/>
    <col min="32" max="32" width="11.81640625" bestFit="1" customWidth="1"/>
    <col min="33" max="33" width="11.26953125" bestFit="1" customWidth="1"/>
    <col min="34" max="34" width="11.81640625" bestFit="1" customWidth="1"/>
  </cols>
  <sheetData>
    <row r="1" spans="1:34" x14ac:dyDescent="0.35">
      <c r="A1" s="3"/>
      <c r="B1" s="6"/>
      <c r="C1" s="6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x14ac:dyDescent="0.35">
      <c r="A2" s="47" t="s">
        <v>1</v>
      </c>
      <c r="B2" s="47" t="s">
        <v>8</v>
      </c>
      <c r="C2" s="47" t="s">
        <v>9</v>
      </c>
      <c r="D2" s="47" t="s">
        <v>11</v>
      </c>
      <c r="E2" s="47" t="s">
        <v>10</v>
      </c>
      <c r="F2" s="47" t="s">
        <v>4</v>
      </c>
      <c r="G2" s="47" t="s">
        <v>5</v>
      </c>
      <c r="I2" s="47" t="s">
        <v>6</v>
      </c>
      <c r="J2" s="47" t="s">
        <v>7</v>
      </c>
      <c r="K2" s="3" t="s">
        <v>73</v>
      </c>
      <c r="L2" s="3" t="s">
        <v>74</v>
      </c>
      <c r="M2" s="3" t="s">
        <v>75</v>
      </c>
      <c r="N2" s="3" t="s">
        <v>76</v>
      </c>
      <c r="O2" s="3" t="s">
        <v>77</v>
      </c>
      <c r="P2" s="3" t="s">
        <v>78</v>
      </c>
      <c r="Q2" s="3" t="s">
        <v>79</v>
      </c>
      <c r="R2" s="3" t="s">
        <v>80</v>
      </c>
      <c r="S2" s="3" t="s">
        <v>81</v>
      </c>
      <c r="T2" s="3" t="s">
        <v>82</v>
      </c>
      <c r="U2" s="3" t="s">
        <v>83</v>
      </c>
      <c r="V2" s="3" t="s">
        <v>84</v>
      </c>
      <c r="W2" s="3" t="s">
        <v>85</v>
      </c>
      <c r="X2" s="3" t="s">
        <v>86</v>
      </c>
      <c r="Y2" s="3" t="s">
        <v>87</v>
      </c>
      <c r="Z2" s="3" t="s">
        <v>88</v>
      </c>
      <c r="AA2" s="3" t="s">
        <v>89</v>
      </c>
      <c r="AB2" s="3" t="s">
        <v>90</v>
      </c>
      <c r="AC2" s="3" t="s">
        <v>91</v>
      </c>
      <c r="AD2" s="3" t="s">
        <v>92</v>
      </c>
      <c r="AE2" s="3" t="s">
        <v>93</v>
      </c>
      <c r="AF2" s="3" t="s">
        <v>94</v>
      </c>
      <c r="AG2" s="3" t="s">
        <v>107</v>
      </c>
      <c r="AH2" s="3" t="s">
        <v>95</v>
      </c>
    </row>
    <row r="3" spans="1:34" x14ac:dyDescent="0.35">
      <c r="A3" s="48" t="s">
        <v>164</v>
      </c>
      <c r="B3" s="49">
        <v>1</v>
      </c>
      <c r="C3" s="49" t="s">
        <v>165</v>
      </c>
      <c r="D3" s="50">
        <v>2</v>
      </c>
      <c r="E3" s="50" t="s">
        <v>166</v>
      </c>
      <c r="F3" s="51">
        <v>3</v>
      </c>
      <c r="G3" s="51" t="s">
        <v>167</v>
      </c>
      <c r="I3" s="52">
        <v>4</v>
      </c>
      <c r="J3" s="52" t="s">
        <v>168</v>
      </c>
      <c r="K3" s="54" t="s">
        <v>169</v>
      </c>
      <c r="L3" s="54" t="s">
        <v>170</v>
      </c>
      <c r="M3" s="8" t="s">
        <v>171</v>
      </c>
      <c r="N3" s="8" t="s">
        <v>172</v>
      </c>
      <c r="O3" s="54" t="s">
        <v>173</v>
      </c>
      <c r="P3" s="54" t="s">
        <v>174</v>
      </c>
      <c r="Q3" s="54" t="s">
        <v>175</v>
      </c>
      <c r="R3" s="54" t="s">
        <v>176</v>
      </c>
      <c r="S3" s="8" t="s">
        <v>177</v>
      </c>
      <c r="T3" s="8" t="s">
        <v>178</v>
      </c>
      <c r="U3" s="54" t="s">
        <v>179</v>
      </c>
      <c r="V3" s="54" t="s">
        <v>180</v>
      </c>
      <c r="W3" s="54" t="s">
        <v>181</v>
      </c>
      <c r="X3" s="54" t="s">
        <v>182</v>
      </c>
      <c r="Y3" s="8" t="s">
        <v>183</v>
      </c>
      <c r="Z3" s="8" t="s">
        <v>184</v>
      </c>
      <c r="AA3" s="54" t="s">
        <v>185</v>
      </c>
      <c r="AB3" s="54" t="s">
        <v>186</v>
      </c>
      <c r="AC3" s="8" t="s">
        <v>187</v>
      </c>
      <c r="AD3" s="8" t="s">
        <v>188</v>
      </c>
      <c r="AE3" s="54" t="s">
        <v>189</v>
      </c>
      <c r="AF3" s="54" t="s">
        <v>190</v>
      </c>
      <c r="AG3" s="54" t="s">
        <v>191</v>
      </c>
      <c r="AH3" s="54" t="s">
        <v>192</v>
      </c>
    </row>
    <row r="4" spans="1:34" x14ac:dyDescent="0.35">
      <c r="A4" s="55" t="s">
        <v>193</v>
      </c>
      <c r="B4" s="56">
        <v>1</v>
      </c>
      <c r="C4" s="56">
        <v>0</v>
      </c>
      <c r="D4" s="56"/>
      <c r="E4" s="56"/>
      <c r="F4" s="56">
        <v>0</v>
      </c>
      <c r="G4" s="56">
        <v>0</v>
      </c>
      <c r="I4" s="56">
        <v>1</v>
      </c>
      <c r="J4" s="56"/>
      <c r="K4" s="56">
        <v>2</v>
      </c>
      <c r="L4" s="56">
        <v>1</v>
      </c>
      <c r="M4" s="56">
        <v>0</v>
      </c>
      <c r="N4" s="56">
        <v>0</v>
      </c>
      <c r="O4" s="56">
        <v>1</v>
      </c>
      <c r="P4" s="56">
        <v>0</v>
      </c>
      <c r="Q4" s="56">
        <v>1</v>
      </c>
      <c r="R4" s="56">
        <v>1</v>
      </c>
      <c r="S4" s="56">
        <v>1</v>
      </c>
      <c r="T4" s="56">
        <v>0</v>
      </c>
      <c r="U4" s="56">
        <v>1</v>
      </c>
      <c r="V4" s="56">
        <v>1</v>
      </c>
      <c r="W4" s="56">
        <v>2</v>
      </c>
      <c r="X4" s="56">
        <v>2</v>
      </c>
      <c r="Y4" s="56"/>
      <c r="Z4" s="56"/>
      <c r="AA4" s="56">
        <v>2</v>
      </c>
      <c r="AB4" s="56">
        <v>1</v>
      </c>
      <c r="AC4" s="56">
        <v>1</v>
      </c>
      <c r="AD4" s="56">
        <v>1</v>
      </c>
      <c r="AE4" s="56">
        <v>2</v>
      </c>
      <c r="AF4" s="56">
        <v>2</v>
      </c>
      <c r="AG4" s="56">
        <v>1</v>
      </c>
      <c r="AH4" s="56">
        <v>1</v>
      </c>
    </row>
    <row r="5" spans="1:34" x14ac:dyDescent="0.35">
      <c r="A5" s="55" t="s">
        <v>194</v>
      </c>
      <c r="B5" s="56">
        <v>1</v>
      </c>
      <c r="C5" s="56">
        <v>0</v>
      </c>
      <c r="D5" s="56"/>
      <c r="E5" s="56"/>
      <c r="F5" s="56">
        <v>3</v>
      </c>
      <c r="G5" s="56">
        <v>4</v>
      </c>
      <c r="I5" s="56"/>
      <c r="J5" s="56"/>
      <c r="K5" s="56">
        <v>1</v>
      </c>
      <c r="L5" s="56">
        <v>0</v>
      </c>
      <c r="M5" s="56">
        <v>4</v>
      </c>
      <c r="N5" s="56">
        <v>2</v>
      </c>
      <c r="O5" s="56">
        <v>0</v>
      </c>
      <c r="P5" s="56">
        <v>0</v>
      </c>
      <c r="Q5" s="56">
        <v>1</v>
      </c>
      <c r="R5" s="56">
        <v>1</v>
      </c>
      <c r="S5" s="56">
        <v>1</v>
      </c>
      <c r="T5" s="56">
        <v>1</v>
      </c>
      <c r="U5" s="56">
        <v>2</v>
      </c>
      <c r="V5" s="56">
        <v>2</v>
      </c>
      <c r="W5" s="56">
        <v>0</v>
      </c>
      <c r="X5" s="56"/>
      <c r="Y5" s="56"/>
      <c r="Z5" s="56"/>
      <c r="AA5" s="56">
        <v>0</v>
      </c>
      <c r="AB5" s="56"/>
      <c r="AC5" s="56"/>
      <c r="AD5" s="56"/>
      <c r="AE5" s="56"/>
      <c r="AF5" s="56"/>
      <c r="AG5" s="56"/>
      <c r="AH5" s="56"/>
    </row>
    <row r="6" spans="1:34" x14ac:dyDescent="0.35">
      <c r="A6" s="55" t="s">
        <v>195</v>
      </c>
      <c r="B6" s="56"/>
      <c r="C6" s="56"/>
      <c r="D6" s="56"/>
      <c r="E6" s="56"/>
      <c r="F6" s="56"/>
      <c r="G6" s="56"/>
      <c r="I6" s="56"/>
      <c r="J6" s="56"/>
      <c r="K6" s="56">
        <v>0</v>
      </c>
      <c r="L6" s="56">
        <v>0</v>
      </c>
      <c r="M6" s="56">
        <v>0</v>
      </c>
      <c r="N6" s="56">
        <v>0</v>
      </c>
      <c r="O6" s="56">
        <v>0</v>
      </c>
      <c r="P6" s="56">
        <v>0</v>
      </c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</row>
    <row r="7" spans="1:34" x14ac:dyDescent="0.35">
      <c r="A7" s="55" t="s">
        <v>196</v>
      </c>
      <c r="B7" s="56">
        <v>1</v>
      </c>
      <c r="C7" s="56">
        <v>2</v>
      </c>
      <c r="D7" s="56">
        <v>1</v>
      </c>
      <c r="E7" s="56">
        <v>1</v>
      </c>
      <c r="F7" s="56"/>
      <c r="G7" s="56"/>
      <c r="I7" s="56">
        <v>2</v>
      </c>
      <c r="J7" s="56">
        <v>1</v>
      </c>
      <c r="K7" s="56">
        <v>0</v>
      </c>
      <c r="L7" s="56">
        <v>0</v>
      </c>
      <c r="M7" s="56">
        <v>0</v>
      </c>
      <c r="N7" s="56">
        <v>0</v>
      </c>
      <c r="O7" s="56">
        <v>0</v>
      </c>
      <c r="P7" s="56">
        <v>0</v>
      </c>
      <c r="Q7" s="56"/>
      <c r="R7" s="56"/>
      <c r="S7" s="56"/>
      <c r="T7" s="56"/>
      <c r="U7" s="56"/>
      <c r="V7" s="56"/>
      <c r="W7" s="56">
        <v>1</v>
      </c>
      <c r="X7" s="56">
        <v>1</v>
      </c>
      <c r="Y7" s="56"/>
      <c r="Z7" s="56"/>
      <c r="AA7" s="56"/>
      <c r="AB7" s="56"/>
      <c r="AC7" s="56"/>
      <c r="AD7" s="56"/>
      <c r="AE7" s="56">
        <v>1</v>
      </c>
      <c r="AF7" s="56">
        <v>2</v>
      </c>
      <c r="AG7" s="56"/>
      <c r="AH7" s="56">
        <v>1</v>
      </c>
    </row>
    <row r="8" spans="1:34" x14ac:dyDescent="0.35">
      <c r="A8" s="55" t="s">
        <v>197</v>
      </c>
      <c r="B8" s="56"/>
      <c r="C8" s="56"/>
      <c r="D8" s="56">
        <v>2</v>
      </c>
      <c r="E8" s="56">
        <v>1</v>
      </c>
      <c r="F8" s="56"/>
      <c r="G8" s="56"/>
      <c r="I8" s="56"/>
      <c r="J8" s="56"/>
      <c r="K8" s="56">
        <v>0</v>
      </c>
      <c r="L8" s="56">
        <v>0</v>
      </c>
      <c r="M8" s="56">
        <v>0</v>
      </c>
      <c r="N8" s="56">
        <v>0</v>
      </c>
      <c r="O8" s="56">
        <v>2</v>
      </c>
      <c r="P8" s="56">
        <v>2</v>
      </c>
      <c r="Q8" s="56">
        <v>2</v>
      </c>
      <c r="R8" s="56">
        <v>1</v>
      </c>
      <c r="S8" s="56">
        <v>1</v>
      </c>
      <c r="T8" s="56"/>
      <c r="U8" s="56"/>
      <c r="V8" s="56"/>
      <c r="W8" s="56"/>
      <c r="X8" s="56"/>
      <c r="Y8" s="56"/>
      <c r="Z8" s="56"/>
      <c r="AA8" s="56">
        <v>2</v>
      </c>
      <c r="AB8" s="56">
        <v>0</v>
      </c>
      <c r="AC8" s="56"/>
      <c r="AD8" s="56"/>
      <c r="AE8" s="56"/>
      <c r="AF8" s="56"/>
      <c r="AG8" s="56"/>
      <c r="AH8" s="56"/>
    </row>
    <row r="9" spans="1:34" x14ac:dyDescent="0.35">
      <c r="A9" s="55" t="s">
        <v>198</v>
      </c>
      <c r="B9" s="56"/>
      <c r="C9" s="56"/>
      <c r="D9" s="56"/>
      <c r="E9" s="56"/>
      <c r="F9" s="56"/>
      <c r="G9" s="56"/>
      <c r="I9" s="56"/>
      <c r="J9" s="56"/>
      <c r="K9" s="56">
        <v>0</v>
      </c>
      <c r="L9" s="56">
        <v>0</v>
      </c>
      <c r="M9" s="56">
        <v>0</v>
      </c>
      <c r="N9" s="56">
        <v>0</v>
      </c>
      <c r="O9" s="56">
        <v>0</v>
      </c>
      <c r="P9" s="56">
        <v>0</v>
      </c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</row>
    <row r="10" spans="1:34" x14ac:dyDescent="0.35">
      <c r="A10" s="55" t="s">
        <v>113</v>
      </c>
      <c r="B10" s="56">
        <v>2</v>
      </c>
      <c r="C10" s="56">
        <v>1</v>
      </c>
      <c r="D10" s="56">
        <v>1</v>
      </c>
      <c r="E10" s="56">
        <v>0</v>
      </c>
      <c r="F10" s="56">
        <v>1</v>
      </c>
      <c r="G10" s="56">
        <v>1</v>
      </c>
      <c r="I10" s="56">
        <v>1</v>
      </c>
      <c r="J10" s="56">
        <v>2</v>
      </c>
      <c r="K10" s="56">
        <v>0</v>
      </c>
      <c r="L10" s="56">
        <v>0</v>
      </c>
      <c r="M10" s="56">
        <v>0</v>
      </c>
      <c r="N10" s="56">
        <v>0</v>
      </c>
      <c r="O10" s="56">
        <v>0</v>
      </c>
      <c r="P10" s="56">
        <v>0</v>
      </c>
      <c r="Q10" s="56">
        <v>2</v>
      </c>
      <c r="R10" s="56">
        <v>1</v>
      </c>
      <c r="S10" s="56">
        <v>2</v>
      </c>
      <c r="T10" s="56">
        <v>1</v>
      </c>
      <c r="U10" s="56">
        <v>1</v>
      </c>
      <c r="V10" s="56">
        <v>1</v>
      </c>
      <c r="W10" s="56">
        <v>2</v>
      </c>
      <c r="X10" s="56">
        <v>1</v>
      </c>
      <c r="Y10" s="56">
        <v>1</v>
      </c>
      <c r="Z10" s="56">
        <v>1</v>
      </c>
      <c r="AA10" s="56">
        <v>1</v>
      </c>
      <c r="AB10" s="56">
        <v>1</v>
      </c>
      <c r="AC10" s="56">
        <v>0</v>
      </c>
      <c r="AD10" s="56">
        <v>0</v>
      </c>
      <c r="AE10" s="56">
        <v>0</v>
      </c>
      <c r="AF10" s="56">
        <v>0</v>
      </c>
      <c r="AG10" s="56">
        <v>0</v>
      </c>
      <c r="AH10" s="56">
        <v>0</v>
      </c>
    </row>
    <row r="11" spans="1:34" x14ac:dyDescent="0.35">
      <c r="A11" s="55" t="s">
        <v>114</v>
      </c>
      <c r="B11" s="56">
        <v>2</v>
      </c>
      <c r="C11" s="56">
        <v>3</v>
      </c>
      <c r="D11" s="56">
        <v>1</v>
      </c>
      <c r="E11" s="56">
        <v>2</v>
      </c>
      <c r="F11" s="56">
        <v>1</v>
      </c>
      <c r="G11" s="56">
        <v>2</v>
      </c>
      <c r="I11" s="56">
        <v>1</v>
      </c>
      <c r="J11" s="56">
        <v>2</v>
      </c>
      <c r="K11" s="56">
        <v>2</v>
      </c>
      <c r="L11" s="56">
        <v>3</v>
      </c>
      <c r="M11" s="56">
        <v>2</v>
      </c>
      <c r="N11" s="56">
        <v>4</v>
      </c>
      <c r="O11" s="56">
        <v>1</v>
      </c>
      <c r="P11" s="56">
        <v>2</v>
      </c>
      <c r="Q11" s="56"/>
      <c r="R11" s="56">
        <v>2</v>
      </c>
      <c r="S11" s="56"/>
      <c r="T11" s="56">
        <v>3</v>
      </c>
      <c r="U11" s="56"/>
      <c r="V11" s="56">
        <v>3</v>
      </c>
      <c r="W11" s="56">
        <v>1</v>
      </c>
      <c r="X11" s="56">
        <v>4</v>
      </c>
      <c r="Y11" s="56">
        <v>0</v>
      </c>
      <c r="Z11" s="56">
        <v>3</v>
      </c>
      <c r="AA11" s="56">
        <v>2</v>
      </c>
      <c r="AB11" s="56">
        <v>4</v>
      </c>
      <c r="AC11" s="56">
        <v>1</v>
      </c>
      <c r="AD11" s="56">
        <v>3</v>
      </c>
      <c r="AE11" s="56">
        <v>1</v>
      </c>
      <c r="AF11" s="56">
        <v>4</v>
      </c>
      <c r="AG11" s="56">
        <v>0</v>
      </c>
      <c r="AH11" s="56">
        <v>4</v>
      </c>
    </row>
    <row r="12" spans="1:34" x14ac:dyDescent="0.35">
      <c r="A12" s="55" t="s">
        <v>115</v>
      </c>
      <c r="B12" s="56">
        <v>0</v>
      </c>
      <c r="C12" s="56">
        <v>0</v>
      </c>
      <c r="D12" s="56">
        <v>0</v>
      </c>
      <c r="E12" s="56">
        <v>0</v>
      </c>
      <c r="F12" s="56">
        <v>2</v>
      </c>
      <c r="G12" s="56">
        <v>0</v>
      </c>
      <c r="I12" s="56">
        <v>0</v>
      </c>
      <c r="J12" s="56"/>
      <c r="K12" s="56">
        <v>2</v>
      </c>
      <c r="L12" s="56">
        <v>1</v>
      </c>
      <c r="M12" s="56">
        <v>0</v>
      </c>
      <c r="N12" s="56">
        <v>0</v>
      </c>
      <c r="O12" s="56">
        <v>0</v>
      </c>
      <c r="P12" s="56">
        <v>0</v>
      </c>
      <c r="Q12" s="56">
        <v>3</v>
      </c>
      <c r="R12" s="56">
        <v>2</v>
      </c>
      <c r="S12" s="56">
        <v>1</v>
      </c>
      <c r="T12" s="56">
        <v>0</v>
      </c>
      <c r="U12" s="56">
        <v>2</v>
      </c>
      <c r="V12" s="56">
        <v>2</v>
      </c>
      <c r="W12" s="56">
        <v>3</v>
      </c>
      <c r="X12" s="56">
        <v>2</v>
      </c>
      <c r="Y12" s="56">
        <v>2</v>
      </c>
      <c r="Z12" s="56">
        <v>3</v>
      </c>
      <c r="AA12" s="56">
        <v>1</v>
      </c>
      <c r="AB12" s="56">
        <v>1</v>
      </c>
      <c r="AC12" s="56">
        <v>2</v>
      </c>
      <c r="AD12" s="56">
        <v>0</v>
      </c>
      <c r="AE12" s="56">
        <v>0</v>
      </c>
      <c r="AF12" s="56">
        <v>0</v>
      </c>
      <c r="AG12" s="56">
        <v>0</v>
      </c>
      <c r="AH12" s="56">
        <v>0</v>
      </c>
    </row>
    <row r="13" spans="1:34" x14ac:dyDescent="0.35">
      <c r="A13" s="55" t="s">
        <v>116</v>
      </c>
      <c r="B13" s="56">
        <v>2</v>
      </c>
      <c r="C13" s="56">
        <v>1</v>
      </c>
      <c r="D13" s="56">
        <v>3</v>
      </c>
      <c r="E13" s="56">
        <v>2</v>
      </c>
      <c r="F13" s="56">
        <v>1</v>
      </c>
      <c r="G13" s="56">
        <v>1</v>
      </c>
      <c r="I13" s="56">
        <v>1</v>
      </c>
      <c r="J13" s="56">
        <v>0</v>
      </c>
      <c r="K13" s="56">
        <v>1</v>
      </c>
      <c r="L13" s="56">
        <v>0</v>
      </c>
      <c r="M13" s="56">
        <v>0</v>
      </c>
      <c r="N13" s="56">
        <v>0</v>
      </c>
      <c r="O13" s="56">
        <v>2</v>
      </c>
      <c r="P13" s="56">
        <v>1</v>
      </c>
      <c r="Q13" s="56">
        <v>0</v>
      </c>
      <c r="R13" s="56"/>
      <c r="S13" s="56">
        <v>0</v>
      </c>
      <c r="T13" s="56">
        <v>0</v>
      </c>
      <c r="U13" s="56"/>
      <c r="V13" s="56"/>
      <c r="W13" s="56"/>
      <c r="X13" s="56"/>
      <c r="Y13" s="56"/>
      <c r="Z13" s="56"/>
      <c r="AA13" s="56"/>
      <c r="AB13" s="56"/>
      <c r="AC13" s="56">
        <v>0</v>
      </c>
      <c r="AD13" s="56">
        <v>0</v>
      </c>
      <c r="AE13" s="56">
        <v>1</v>
      </c>
      <c r="AF13" s="56">
        <v>0</v>
      </c>
      <c r="AG13" s="56">
        <v>2</v>
      </c>
      <c r="AH13" s="56">
        <v>1</v>
      </c>
    </row>
    <row r="14" spans="1:34" x14ac:dyDescent="0.35">
      <c r="A14" s="55" t="s">
        <v>117</v>
      </c>
      <c r="B14" s="56">
        <v>3</v>
      </c>
      <c r="C14" s="56">
        <v>2</v>
      </c>
      <c r="D14" s="56">
        <v>2</v>
      </c>
      <c r="E14" s="56">
        <v>1</v>
      </c>
      <c r="F14" s="56">
        <v>1</v>
      </c>
      <c r="G14" s="56">
        <v>1</v>
      </c>
      <c r="I14" s="56">
        <v>4</v>
      </c>
      <c r="J14" s="56">
        <v>3</v>
      </c>
      <c r="K14" s="56">
        <v>2</v>
      </c>
      <c r="L14" s="56">
        <v>1</v>
      </c>
      <c r="M14" s="56">
        <v>3</v>
      </c>
      <c r="N14" s="56">
        <v>1</v>
      </c>
      <c r="O14" s="56">
        <v>1</v>
      </c>
      <c r="P14" s="56">
        <v>1</v>
      </c>
      <c r="Q14" s="56">
        <v>1</v>
      </c>
      <c r="R14" s="56">
        <v>2</v>
      </c>
      <c r="S14" s="56">
        <v>1</v>
      </c>
      <c r="T14" s="56">
        <v>2</v>
      </c>
      <c r="U14" s="56">
        <v>3</v>
      </c>
      <c r="V14" s="56">
        <v>2</v>
      </c>
      <c r="W14" s="56">
        <v>2</v>
      </c>
      <c r="X14" s="56">
        <v>2</v>
      </c>
      <c r="Y14" s="56">
        <v>3</v>
      </c>
      <c r="Z14" s="56">
        <v>2</v>
      </c>
      <c r="AA14" s="56">
        <v>2</v>
      </c>
      <c r="AB14" s="56">
        <v>2</v>
      </c>
      <c r="AC14" s="56">
        <v>2</v>
      </c>
      <c r="AD14" s="56">
        <v>2</v>
      </c>
      <c r="AE14" s="56">
        <v>1</v>
      </c>
      <c r="AF14" s="56">
        <v>1</v>
      </c>
      <c r="AG14" s="56">
        <v>3</v>
      </c>
      <c r="AH14" s="56">
        <v>1</v>
      </c>
    </row>
    <row r="15" spans="1:34" x14ac:dyDescent="0.35">
      <c r="A15" s="55" t="s">
        <v>118</v>
      </c>
      <c r="B15" s="56">
        <v>2</v>
      </c>
      <c r="C15" s="56">
        <v>2</v>
      </c>
      <c r="D15" s="56">
        <v>3</v>
      </c>
      <c r="E15" s="56">
        <v>3</v>
      </c>
      <c r="F15" s="56">
        <v>2</v>
      </c>
      <c r="G15" s="56">
        <v>3</v>
      </c>
      <c r="I15" s="56">
        <v>1</v>
      </c>
      <c r="J15" s="56">
        <v>2</v>
      </c>
      <c r="K15" s="56">
        <v>1</v>
      </c>
      <c r="L15" s="56">
        <v>3</v>
      </c>
      <c r="M15" s="56">
        <v>1</v>
      </c>
      <c r="N15" s="56">
        <v>2</v>
      </c>
      <c r="O15" s="56">
        <v>2</v>
      </c>
      <c r="P15" s="56">
        <v>2</v>
      </c>
      <c r="Q15" s="56">
        <v>2</v>
      </c>
      <c r="R15" s="56">
        <v>2</v>
      </c>
      <c r="S15" s="56">
        <v>1</v>
      </c>
      <c r="T15" s="56">
        <v>2</v>
      </c>
      <c r="U15" s="56">
        <v>2</v>
      </c>
      <c r="V15" s="56">
        <v>2</v>
      </c>
      <c r="W15" s="56">
        <v>1</v>
      </c>
      <c r="X15" s="56">
        <v>2</v>
      </c>
      <c r="Y15" s="56">
        <v>1</v>
      </c>
      <c r="Z15" s="56">
        <v>2</v>
      </c>
      <c r="AA15" s="56">
        <v>2</v>
      </c>
      <c r="AB15" s="56">
        <v>2</v>
      </c>
      <c r="AC15" s="56">
        <v>1</v>
      </c>
      <c r="AD15" s="56">
        <v>2</v>
      </c>
      <c r="AE15" s="56">
        <v>2</v>
      </c>
      <c r="AF15" s="56">
        <v>3</v>
      </c>
      <c r="AG15" s="56">
        <v>2</v>
      </c>
      <c r="AH15" s="56">
        <v>2</v>
      </c>
    </row>
    <row r="16" spans="1:34" x14ac:dyDescent="0.35">
      <c r="A16" s="55" t="s">
        <v>199</v>
      </c>
      <c r="B16" s="56">
        <v>3</v>
      </c>
      <c r="C16" s="56">
        <v>1</v>
      </c>
      <c r="D16" s="56"/>
      <c r="E16" s="56"/>
      <c r="F16" s="56">
        <v>1</v>
      </c>
      <c r="G16" s="56"/>
      <c r="I16" s="56"/>
      <c r="J16" s="56"/>
      <c r="K16" s="56">
        <v>4</v>
      </c>
      <c r="L16" s="56">
        <v>2</v>
      </c>
      <c r="M16" s="56">
        <v>0</v>
      </c>
      <c r="N16" s="56">
        <v>0</v>
      </c>
      <c r="O16" s="56">
        <v>1</v>
      </c>
      <c r="P16" s="56">
        <v>0</v>
      </c>
      <c r="Q16" s="56">
        <v>1</v>
      </c>
      <c r="R16" s="56">
        <v>0</v>
      </c>
      <c r="S16" s="56">
        <v>1</v>
      </c>
      <c r="T16" s="56">
        <v>1</v>
      </c>
      <c r="U16" s="56">
        <v>1</v>
      </c>
      <c r="V16" s="56">
        <v>1</v>
      </c>
      <c r="W16" s="56">
        <v>2</v>
      </c>
      <c r="X16" s="56">
        <v>2</v>
      </c>
      <c r="Y16" s="56"/>
      <c r="Z16" s="56"/>
      <c r="AA16" s="56">
        <v>2</v>
      </c>
      <c r="AB16" s="56">
        <v>1</v>
      </c>
      <c r="AC16" s="56">
        <v>2</v>
      </c>
      <c r="AD16" s="56">
        <v>2</v>
      </c>
      <c r="AE16" s="56">
        <v>2</v>
      </c>
      <c r="AF16" s="56">
        <v>3</v>
      </c>
      <c r="AG16" s="56">
        <v>3</v>
      </c>
      <c r="AH16" s="56">
        <v>2</v>
      </c>
    </row>
    <row r="17" spans="1:34" x14ac:dyDescent="0.35">
      <c r="A17" s="55" t="s">
        <v>200</v>
      </c>
      <c r="B17" s="56">
        <v>1</v>
      </c>
      <c r="C17" s="56">
        <v>1</v>
      </c>
      <c r="D17" s="56"/>
      <c r="E17" s="56"/>
      <c r="F17" s="56">
        <v>4</v>
      </c>
      <c r="G17" s="56">
        <v>5</v>
      </c>
      <c r="I17" s="56"/>
      <c r="J17" s="56"/>
      <c r="K17" s="56">
        <v>1</v>
      </c>
      <c r="L17" s="56">
        <v>0</v>
      </c>
      <c r="M17" s="56">
        <v>4</v>
      </c>
      <c r="N17" s="56">
        <v>1</v>
      </c>
      <c r="O17" s="56">
        <v>0</v>
      </c>
      <c r="P17" s="56">
        <v>0</v>
      </c>
      <c r="Q17" s="56">
        <v>2</v>
      </c>
      <c r="R17" s="56">
        <v>1</v>
      </c>
      <c r="S17" s="56">
        <v>1</v>
      </c>
      <c r="T17" s="56">
        <v>1</v>
      </c>
      <c r="U17" s="56">
        <v>2</v>
      </c>
      <c r="V17" s="56">
        <v>2</v>
      </c>
      <c r="W17" s="56"/>
      <c r="X17" s="56"/>
      <c r="Y17" s="56"/>
      <c r="Z17" s="56"/>
      <c r="AA17" s="56"/>
      <c r="AB17" s="56"/>
      <c r="AC17" s="56"/>
      <c r="AD17" s="56">
        <v>1</v>
      </c>
      <c r="AE17" s="56"/>
      <c r="AF17" s="56"/>
      <c r="AG17" s="56"/>
      <c r="AH17" s="56"/>
    </row>
    <row r="18" spans="1:34" x14ac:dyDescent="0.35">
      <c r="A18" s="55" t="s">
        <v>201</v>
      </c>
      <c r="B18" s="56"/>
      <c r="C18" s="56"/>
      <c r="D18" s="56"/>
      <c r="E18" s="56"/>
      <c r="F18" s="56"/>
      <c r="G18" s="56"/>
      <c r="I18" s="56"/>
      <c r="J18" s="56"/>
      <c r="K18" s="56">
        <v>0</v>
      </c>
      <c r="L18" s="56">
        <v>0</v>
      </c>
      <c r="M18" s="56">
        <v>0</v>
      </c>
      <c r="N18" s="56">
        <v>0</v>
      </c>
      <c r="O18" s="56">
        <v>0</v>
      </c>
      <c r="P18" s="56">
        <v>0</v>
      </c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</row>
    <row r="19" spans="1:34" x14ac:dyDescent="0.35">
      <c r="A19" s="55" t="s">
        <v>202</v>
      </c>
      <c r="B19" s="56">
        <v>1</v>
      </c>
      <c r="C19" s="56">
        <v>2</v>
      </c>
      <c r="D19" s="56">
        <v>1</v>
      </c>
      <c r="E19" s="56">
        <v>3</v>
      </c>
      <c r="F19" s="56"/>
      <c r="G19" s="56"/>
      <c r="I19" s="56">
        <v>4</v>
      </c>
      <c r="J19" s="56">
        <v>3</v>
      </c>
      <c r="K19" s="56">
        <v>0</v>
      </c>
      <c r="L19" s="56">
        <v>1</v>
      </c>
      <c r="M19" s="56">
        <v>0</v>
      </c>
      <c r="N19" s="56">
        <v>0</v>
      </c>
      <c r="O19" s="56">
        <v>0</v>
      </c>
      <c r="P19" s="56">
        <v>0</v>
      </c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>
        <v>1</v>
      </c>
      <c r="AC19" s="56"/>
      <c r="AD19" s="56"/>
      <c r="AE19" s="56">
        <v>1</v>
      </c>
      <c r="AF19" s="56">
        <v>3</v>
      </c>
      <c r="AG19" s="56"/>
      <c r="AH19" s="56">
        <v>1</v>
      </c>
    </row>
    <row r="20" spans="1:34" x14ac:dyDescent="0.35">
      <c r="A20" s="55" t="s">
        <v>203</v>
      </c>
      <c r="B20" s="56"/>
      <c r="C20" s="56"/>
      <c r="D20" s="56">
        <v>2</v>
      </c>
      <c r="E20" s="56">
        <v>3</v>
      </c>
      <c r="F20" s="56"/>
      <c r="G20" s="56"/>
      <c r="I20" s="56"/>
      <c r="J20" s="56"/>
      <c r="K20" s="56">
        <v>0</v>
      </c>
      <c r="L20" s="56">
        <v>0</v>
      </c>
      <c r="M20" s="56">
        <v>0</v>
      </c>
      <c r="N20" s="56">
        <v>0</v>
      </c>
      <c r="O20" s="56">
        <v>3</v>
      </c>
      <c r="P20" s="56">
        <v>2</v>
      </c>
      <c r="Q20" s="56">
        <v>1</v>
      </c>
      <c r="R20" s="56">
        <v>1</v>
      </c>
      <c r="S20" s="56"/>
      <c r="T20" s="56">
        <v>1</v>
      </c>
      <c r="U20" s="56"/>
      <c r="V20" s="56"/>
      <c r="W20" s="56"/>
      <c r="X20" s="56"/>
      <c r="Y20" s="56"/>
      <c r="Z20" s="56"/>
      <c r="AA20" s="56">
        <v>2</v>
      </c>
      <c r="AB20" s="56">
        <v>1</v>
      </c>
      <c r="AC20" s="56"/>
      <c r="AD20" s="56"/>
      <c r="AE20" s="56">
        <v>1</v>
      </c>
      <c r="AF20" s="56">
        <v>2</v>
      </c>
      <c r="AG20" s="56">
        <v>1</v>
      </c>
      <c r="AH20" s="56"/>
    </row>
    <row r="21" spans="1:34" x14ac:dyDescent="0.35">
      <c r="A21" s="55" t="s">
        <v>204</v>
      </c>
      <c r="B21" s="57"/>
      <c r="C21" s="57"/>
      <c r="D21" s="57"/>
      <c r="E21" s="57"/>
      <c r="F21" s="57"/>
      <c r="G21" s="57"/>
      <c r="I21" s="57"/>
      <c r="J21" s="57"/>
      <c r="K21" s="56">
        <v>0</v>
      </c>
      <c r="L21" s="56">
        <v>0</v>
      </c>
      <c r="M21" s="56">
        <v>2</v>
      </c>
      <c r="N21" s="56">
        <v>3</v>
      </c>
      <c r="O21" s="56">
        <v>0</v>
      </c>
      <c r="P21" s="56">
        <v>0</v>
      </c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</row>
    <row r="22" spans="1:34" ht="348" x14ac:dyDescent="0.35">
      <c r="A22" s="57" t="s">
        <v>205</v>
      </c>
      <c r="B22" s="57" t="s">
        <v>206</v>
      </c>
      <c r="C22" s="57" t="s">
        <v>207</v>
      </c>
      <c r="D22" s="57" t="s">
        <v>208</v>
      </c>
      <c r="E22" s="57" t="s">
        <v>209</v>
      </c>
      <c r="F22" s="57" t="s">
        <v>210</v>
      </c>
      <c r="G22" s="57" t="s">
        <v>211</v>
      </c>
      <c r="I22" s="57" t="s">
        <v>212</v>
      </c>
      <c r="J22" s="57"/>
      <c r="K22" s="57" t="s">
        <v>213</v>
      </c>
      <c r="L22" s="57" t="s">
        <v>214</v>
      </c>
      <c r="M22" s="57" t="s">
        <v>215</v>
      </c>
      <c r="N22" s="59" t="s">
        <v>216</v>
      </c>
      <c r="O22" s="57" t="s">
        <v>217</v>
      </c>
      <c r="P22" s="57" t="s">
        <v>218</v>
      </c>
      <c r="Q22" s="57" t="s">
        <v>219</v>
      </c>
      <c r="R22" s="57" t="s">
        <v>220</v>
      </c>
      <c r="S22" s="57" t="s">
        <v>221</v>
      </c>
      <c r="T22" s="57" t="s">
        <v>222</v>
      </c>
      <c r="U22" s="57" t="s">
        <v>223</v>
      </c>
      <c r="V22" s="57"/>
      <c r="W22" s="57" t="s">
        <v>224</v>
      </c>
      <c r="X22" s="57" t="s">
        <v>225</v>
      </c>
      <c r="Y22" s="57" t="s">
        <v>226</v>
      </c>
      <c r="Z22" s="57" t="s">
        <v>227</v>
      </c>
      <c r="AA22" s="57" t="s">
        <v>228</v>
      </c>
      <c r="AB22" s="57" t="s">
        <v>229</v>
      </c>
      <c r="AC22" s="57" t="s">
        <v>230</v>
      </c>
      <c r="AD22" s="57" t="s">
        <v>231</v>
      </c>
      <c r="AE22" s="57" t="s">
        <v>232</v>
      </c>
      <c r="AF22" s="57"/>
      <c r="AG22" s="57" t="s">
        <v>233</v>
      </c>
      <c r="AH22" s="57" t="s">
        <v>234</v>
      </c>
    </row>
    <row r="24" spans="1:34" x14ac:dyDescent="0.35">
      <c r="K24" s="3" t="s">
        <v>73</v>
      </c>
      <c r="L24" s="3" t="s">
        <v>74</v>
      </c>
      <c r="M24" s="3" t="s">
        <v>75</v>
      </c>
      <c r="N24" s="3" t="s">
        <v>76</v>
      </c>
      <c r="O24" s="3" t="s">
        <v>77</v>
      </c>
      <c r="P24" s="3" t="s">
        <v>78</v>
      </c>
      <c r="Q24" s="3" t="s">
        <v>79</v>
      </c>
      <c r="R24" s="3" t="s">
        <v>80</v>
      </c>
      <c r="S24" s="3" t="s">
        <v>81</v>
      </c>
      <c r="T24" s="3" t="s">
        <v>82</v>
      </c>
      <c r="U24" s="3" t="s">
        <v>83</v>
      </c>
      <c r="V24" s="3" t="s">
        <v>84</v>
      </c>
      <c r="W24" s="3" t="s">
        <v>85</v>
      </c>
      <c r="X24" s="3" t="s">
        <v>86</v>
      </c>
      <c r="Y24" s="3" t="s">
        <v>87</v>
      </c>
      <c r="Z24" s="3" t="s">
        <v>88</v>
      </c>
      <c r="AA24" s="3" t="s">
        <v>89</v>
      </c>
      <c r="AB24" s="3" t="s">
        <v>90</v>
      </c>
      <c r="AC24" s="3" t="s">
        <v>91</v>
      </c>
      <c r="AD24" s="3" t="s">
        <v>92</v>
      </c>
      <c r="AE24" s="3" t="s">
        <v>93</v>
      </c>
      <c r="AF24" s="3" t="s">
        <v>94</v>
      </c>
      <c r="AG24" s="3" t="s">
        <v>107</v>
      </c>
      <c r="AH24" s="3" t="s">
        <v>95</v>
      </c>
    </row>
    <row r="25" spans="1:34" ht="348" x14ac:dyDescent="0.35">
      <c r="K25" s="57" t="s">
        <v>213</v>
      </c>
      <c r="L25" s="57" t="s">
        <v>214</v>
      </c>
      <c r="M25" s="57" t="s">
        <v>215</v>
      </c>
      <c r="N25" s="59" t="s">
        <v>216</v>
      </c>
      <c r="O25" s="57" t="s">
        <v>217</v>
      </c>
      <c r="P25" s="57" t="s">
        <v>218</v>
      </c>
      <c r="Q25" s="57" t="s">
        <v>219</v>
      </c>
      <c r="R25" s="57" t="s">
        <v>220</v>
      </c>
      <c r="S25" s="57" t="s">
        <v>221</v>
      </c>
      <c r="T25" s="57" t="s">
        <v>222</v>
      </c>
      <c r="U25" s="57" t="s">
        <v>223</v>
      </c>
      <c r="V25" s="57"/>
      <c r="W25" s="57" t="s">
        <v>224</v>
      </c>
      <c r="X25" s="57" t="s">
        <v>225</v>
      </c>
      <c r="Y25" s="57" t="s">
        <v>226</v>
      </c>
      <c r="Z25" s="57" t="s">
        <v>227</v>
      </c>
      <c r="AA25" s="57" t="s">
        <v>228</v>
      </c>
      <c r="AB25" s="57" t="s">
        <v>229</v>
      </c>
      <c r="AC25" s="57" t="s">
        <v>230</v>
      </c>
      <c r="AD25" s="57" t="s">
        <v>231</v>
      </c>
      <c r="AE25" s="57" t="s">
        <v>232</v>
      </c>
      <c r="AF25" s="57"/>
      <c r="AG25" s="57" t="s">
        <v>233</v>
      </c>
      <c r="AH25" s="57" t="s">
        <v>234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F90FA-513B-426E-B8F6-F03E824A6827}">
  <dimension ref="A1:T74"/>
  <sheetViews>
    <sheetView zoomScale="85" zoomScaleNormal="85" workbookViewId="0">
      <selection activeCell="M40" sqref="M40"/>
    </sheetView>
  </sheetViews>
  <sheetFormatPr defaultRowHeight="14.5" x14ac:dyDescent="0.35"/>
  <cols>
    <col min="1" max="1" width="13.7265625" bestFit="1" customWidth="1"/>
    <col min="2" max="2" width="24.81640625" bestFit="1" customWidth="1"/>
  </cols>
  <sheetData>
    <row r="1" spans="1:20" x14ac:dyDescent="0.35">
      <c r="A1" t="s">
        <v>111</v>
      </c>
      <c r="B1" t="s">
        <v>112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132</v>
      </c>
      <c r="P1" t="s">
        <v>133</v>
      </c>
      <c r="Q1" t="s">
        <v>134</v>
      </c>
      <c r="R1" t="s">
        <v>135</v>
      </c>
      <c r="S1" t="s">
        <v>136</v>
      </c>
      <c r="T1" t="s">
        <v>137</v>
      </c>
    </row>
    <row r="2" spans="1:20" x14ac:dyDescent="0.35">
      <c r="A2" t="s">
        <v>11</v>
      </c>
      <c r="B2" t="s">
        <v>124</v>
      </c>
      <c r="C2">
        <v>0</v>
      </c>
      <c r="D2">
        <v>0</v>
      </c>
      <c r="E2">
        <v>0</v>
      </c>
      <c r="F2">
        <v>1</v>
      </c>
      <c r="G2">
        <v>2</v>
      </c>
      <c r="H2">
        <v>0</v>
      </c>
      <c r="I2">
        <v>1</v>
      </c>
      <c r="J2">
        <v>1</v>
      </c>
      <c r="K2">
        <v>0</v>
      </c>
      <c r="L2">
        <v>3</v>
      </c>
      <c r="M2">
        <v>2</v>
      </c>
      <c r="N2">
        <v>3</v>
      </c>
      <c r="O2">
        <v>0</v>
      </c>
      <c r="P2">
        <v>0</v>
      </c>
      <c r="Q2">
        <v>0</v>
      </c>
      <c r="R2">
        <v>1</v>
      </c>
      <c r="S2">
        <v>2</v>
      </c>
      <c r="T2">
        <v>0</v>
      </c>
    </row>
    <row r="3" spans="1:20" x14ac:dyDescent="0.35">
      <c r="A3" t="s">
        <v>10</v>
      </c>
      <c r="B3" t="s">
        <v>124</v>
      </c>
      <c r="C3">
        <v>0</v>
      </c>
      <c r="D3">
        <v>0</v>
      </c>
      <c r="E3">
        <v>0</v>
      </c>
      <c r="F3">
        <v>1</v>
      </c>
      <c r="G3">
        <v>1</v>
      </c>
      <c r="H3">
        <v>0</v>
      </c>
      <c r="I3">
        <v>0</v>
      </c>
      <c r="J3">
        <v>2</v>
      </c>
      <c r="K3">
        <v>0</v>
      </c>
      <c r="L3">
        <v>2</v>
      </c>
      <c r="M3">
        <v>1</v>
      </c>
      <c r="N3">
        <v>3</v>
      </c>
      <c r="O3">
        <v>0</v>
      </c>
      <c r="P3">
        <v>0</v>
      </c>
      <c r="Q3">
        <v>0</v>
      </c>
      <c r="R3">
        <v>3</v>
      </c>
      <c r="S3">
        <v>3</v>
      </c>
      <c r="T3">
        <v>0</v>
      </c>
    </row>
    <row r="4" spans="1:20" x14ac:dyDescent="0.35">
      <c r="A4" t="s">
        <v>8</v>
      </c>
      <c r="B4" t="s">
        <v>123</v>
      </c>
      <c r="C4">
        <v>1</v>
      </c>
      <c r="D4">
        <v>1</v>
      </c>
      <c r="E4">
        <v>0</v>
      </c>
      <c r="F4">
        <v>1</v>
      </c>
      <c r="G4">
        <v>0</v>
      </c>
      <c r="H4">
        <v>0</v>
      </c>
      <c r="I4">
        <v>2</v>
      </c>
      <c r="J4">
        <v>2</v>
      </c>
      <c r="K4">
        <v>0</v>
      </c>
      <c r="L4">
        <v>2</v>
      </c>
      <c r="M4">
        <v>3</v>
      </c>
      <c r="N4">
        <v>2</v>
      </c>
      <c r="O4">
        <v>3</v>
      </c>
      <c r="P4">
        <v>1</v>
      </c>
      <c r="Q4">
        <v>0</v>
      </c>
      <c r="R4">
        <v>1</v>
      </c>
      <c r="S4">
        <v>0</v>
      </c>
      <c r="T4">
        <v>0</v>
      </c>
    </row>
    <row r="5" spans="1:20" x14ac:dyDescent="0.35">
      <c r="A5" t="s">
        <v>9</v>
      </c>
      <c r="B5" t="s">
        <v>123</v>
      </c>
      <c r="C5">
        <v>0</v>
      </c>
      <c r="D5">
        <v>0</v>
      </c>
      <c r="E5">
        <v>0</v>
      </c>
      <c r="F5">
        <v>2</v>
      </c>
      <c r="G5">
        <v>0</v>
      </c>
      <c r="H5">
        <v>0</v>
      </c>
      <c r="I5">
        <v>1</v>
      </c>
      <c r="J5">
        <v>3</v>
      </c>
      <c r="K5">
        <v>0</v>
      </c>
      <c r="L5">
        <v>1</v>
      </c>
      <c r="M5">
        <v>2</v>
      </c>
      <c r="N5">
        <v>2</v>
      </c>
      <c r="O5">
        <v>1</v>
      </c>
      <c r="P5">
        <v>1</v>
      </c>
      <c r="Q5">
        <v>0</v>
      </c>
      <c r="R5">
        <v>2</v>
      </c>
      <c r="S5">
        <v>0</v>
      </c>
      <c r="T5">
        <v>0</v>
      </c>
    </row>
    <row r="6" spans="1:20" x14ac:dyDescent="0.35">
      <c r="A6" t="s">
        <v>87</v>
      </c>
      <c r="B6" t="s">
        <v>142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2</v>
      </c>
      <c r="L6">
        <v>0</v>
      </c>
      <c r="M6">
        <v>3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35">
      <c r="A7" t="s">
        <v>88</v>
      </c>
      <c r="B7" t="s">
        <v>142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3</v>
      </c>
      <c r="K7">
        <v>3</v>
      </c>
      <c r="L7">
        <v>0</v>
      </c>
      <c r="M7">
        <v>2</v>
      </c>
      <c r="N7">
        <v>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35">
      <c r="A8" t="s">
        <v>73</v>
      </c>
      <c r="B8" t="s">
        <v>119</v>
      </c>
      <c r="C8">
        <v>2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2</v>
      </c>
      <c r="K8">
        <v>2</v>
      </c>
      <c r="L8">
        <v>1</v>
      </c>
      <c r="M8">
        <v>2</v>
      </c>
      <c r="N8">
        <v>1</v>
      </c>
      <c r="O8">
        <v>4</v>
      </c>
      <c r="P8">
        <v>1</v>
      </c>
      <c r="Q8">
        <v>0</v>
      </c>
      <c r="R8">
        <v>0</v>
      </c>
      <c r="S8">
        <v>0</v>
      </c>
      <c r="T8">
        <v>0</v>
      </c>
    </row>
    <row r="9" spans="1:20" x14ac:dyDescent="0.35">
      <c r="A9" t="s">
        <v>74</v>
      </c>
      <c r="B9" t="s">
        <v>119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3</v>
      </c>
      <c r="K9">
        <v>1</v>
      </c>
      <c r="L9">
        <v>0</v>
      </c>
      <c r="M9">
        <v>1</v>
      </c>
      <c r="N9">
        <v>3</v>
      </c>
      <c r="O9">
        <v>2</v>
      </c>
      <c r="P9">
        <v>0</v>
      </c>
      <c r="Q9">
        <v>0</v>
      </c>
      <c r="R9">
        <v>1</v>
      </c>
      <c r="S9">
        <v>0</v>
      </c>
      <c r="T9">
        <v>0</v>
      </c>
    </row>
    <row r="10" spans="1:20" x14ac:dyDescent="0.35">
      <c r="A10" t="s">
        <v>4</v>
      </c>
      <c r="B10" t="s">
        <v>125</v>
      </c>
      <c r="C10">
        <v>0</v>
      </c>
      <c r="D10">
        <v>3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2</v>
      </c>
      <c r="L10">
        <v>1</v>
      </c>
      <c r="M10">
        <v>1</v>
      </c>
      <c r="N10">
        <v>2</v>
      </c>
      <c r="O10">
        <v>1</v>
      </c>
      <c r="P10">
        <v>4</v>
      </c>
      <c r="Q10">
        <v>0</v>
      </c>
      <c r="R10">
        <v>0</v>
      </c>
      <c r="S10">
        <v>0</v>
      </c>
      <c r="T10">
        <v>0</v>
      </c>
    </row>
    <row r="11" spans="1:20" x14ac:dyDescent="0.35">
      <c r="A11" t="s">
        <v>5</v>
      </c>
      <c r="B11" t="s">
        <v>125</v>
      </c>
      <c r="C11">
        <v>0</v>
      </c>
      <c r="D11">
        <v>4</v>
      </c>
      <c r="E11">
        <v>0</v>
      </c>
      <c r="F11">
        <v>0</v>
      </c>
      <c r="G11">
        <v>0</v>
      </c>
      <c r="H11">
        <v>0</v>
      </c>
      <c r="I11">
        <v>1</v>
      </c>
      <c r="J11">
        <v>2</v>
      </c>
      <c r="K11">
        <v>0</v>
      </c>
      <c r="L11">
        <v>1</v>
      </c>
      <c r="M11">
        <v>1</v>
      </c>
      <c r="N11">
        <v>3</v>
      </c>
      <c r="O11">
        <v>0</v>
      </c>
      <c r="P11">
        <v>5</v>
      </c>
      <c r="Q11">
        <v>0</v>
      </c>
      <c r="R11">
        <v>0</v>
      </c>
      <c r="S11">
        <v>0</v>
      </c>
      <c r="T11">
        <v>0</v>
      </c>
    </row>
    <row r="12" spans="1:20" x14ac:dyDescent="0.35">
      <c r="A12" t="s">
        <v>75</v>
      </c>
      <c r="B12" t="s">
        <v>120</v>
      </c>
      <c r="C12">
        <v>0</v>
      </c>
      <c r="D12">
        <v>4</v>
      </c>
      <c r="E12">
        <v>0</v>
      </c>
      <c r="F12">
        <v>0</v>
      </c>
      <c r="G12">
        <v>0</v>
      </c>
      <c r="H12">
        <v>0</v>
      </c>
      <c r="I12">
        <v>0</v>
      </c>
      <c r="J12">
        <v>2</v>
      </c>
      <c r="K12">
        <v>0</v>
      </c>
      <c r="L12">
        <v>0</v>
      </c>
      <c r="M12">
        <v>3</v>
      </c>
      <c r="N12">
        <v>1</v>
      </c>
      <c r="O12">
        <v>0</v>
      </c>
      <c r="P12">
        <v>4</v>
      </c>
      <c r="Q12">
        <v>0</v>
      </c>
      <c r="R12">
        <v>0</v>
      </c>
      <c r="S12">
        <v>0</v>
      </c>
      <c r="T12">
        <v>2</v>
      </c>
    </row>
    <row r="13" spans="1:20" x14ac:dyDescent="0.35">
      <c r="A13" t="s">
        <v>76</v>
      </c>
      <c r="B13" t="s">
        <v>120</v>
      </c>
      <c r="C13">
        <v>0</v>
      </c>
      <c r="D13">
        <v>2</v>
      </c>
      <c r="E13">
        <v>0</v>
      </c>
      <c r="F13">
        <v>0</v>
      </c>
      <c r="G13">
        <v>0</v>
      </c>
      <c r="H13">
        <v>0</v>
      </c>
      <c r="I13">
        <v>0</v>
      </c>
      <c r="J13">
        <v>4</v>
      </c>
      <c r="K13">
        <v>0</v>
      </c>
      <c r="L13">
        <v>0</v>
      </c>
      <c r="M13">
        <v>1</v>
      </c>
      <c r="N13">
        <v>2</v>
      </c>
      <c r="O13">
        <v>0</v>
      </c>
      <c r="P13">
        <v>1</v>
      </c>
      <c r="Q13">
        <v>0</v>
      </c>
      <c r="R13">
        <v>0</v>
      </c>
      <c r="S13">
        <v>0</v>
      </c>
      <c r="T13">
        <v>3</v>
      </c>
    </row>
    <row r="14" spans="1:20" x14ac:dyDescent="0.35">
      <c r="A14" t="s">
        <v>81</v>
      </c>
      <c r="B14" t="s">
        <v>139</v>
      </c>
      <c r="C14">
        <v>1</v>
      </c>
      <c r="D14">
        <v>1</v>
      </c>
      <c r="E14">
        <v>0</v>
      </c>
      <c r="F14">
        <v>0</v>
      </c>
      <c r="G14">
        <v>1</v>
      </c>
      <c r="H14">
        <v>0</v>
      </c>
      <c r="I14">
        <v>2</v>
      </c>
      <c r="J14">
        <v>0</v>
      </c>
      <c r="K14">
        <v>1</v>
      </c>
      <c r="L14">
        <v>0</v>
      </c>
      <c r="M14">
        <v>1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</row>
    <row r="15" spans="1:20" x14ac:dyDescent="0.35">
      <c r="A15" t="s">
        <v>82</v>
      </c>
      <c r="B15" t="s">
        <v>139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1</v>
      </c>
      <c r="J15">
        <v>3</v>
      </c>
      <c r="K15">
        <v>0</v>
      </c>
      <c r="L15">
        <v>0</v>
      </c>
      <c r="M15">
        <v>2</v>
      </c>
      <c r="N15">
        <v>2</v>
      </c>
      <c r="O15">
        <v>1</v>
      </c>
      <c r="P15">
        <v>1</v>
      </c>
      <c r="Q15">
        <v>0</v>
      </c>
      <c r="R15">
        <v>0</v>
      </c>
      <c r="S15">
        <v>1</v>
      </c>
      <c r="T15">
        <v>0</v>
      </c>
    </row>
    <row r="16" spans="1:20" x14ac:dyDescent="0.35">
      <c r="A16" t="s">
        <v>91</v>
      </c>
      <c r="B16" t="s">
        <v>145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2</v>
      </c>
      <c r="L16">
        <v>0</v>
      </c>
      <c r="M16">
        <v>2</v>
      </c>
      <c r="N16">
        <v>1</v>
      </c>
      <c r="O16">
        <v>2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35">
      <c r="A17" t="s">
        <v>92</v>
      </c>
      <c r="B17" t="s">
        <v>145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</v>
      </c>
      <c r="K17">
        <v>0</v>
      </c>
      <c r="L17">
        <v>0</v>
      </c>
      <c r="M17">
        <v>2</v>
      </c>
      <c r="N17">
        <v>2</v>
      </c>
      <c r="O17">
        <v>2</v>
      </c>
      <c r="P17">
        <v>1</v>
      </c>
      <c r="Q17">
        <v>0</v>
      </c>
      <c r="R17">
        <v>0</v>
      </c>
      <c r="S17">
        <v>0</v>
      </c>
      <c r="T17">
        <v>0</v>
      </c>
    </row>
    <row r="18" spans="1:20" x14ac:dyDescent="0.35">
      <c r="A18" t="s">
        <v>89</v>
      </c>
      <c r="B18" t="s">
        <v>143</v>
      </c>
      <c r="C18">
        <v>2</v>
      </c>
      <c r="D18">
        <v>0</v>
      </c>
      <c r="E18">
        <v>0</v>
      </c>
      <c r="F18">
        <v>0</v>
      </c>
      <c r="G18">
        <v>2</v>
      </c>
      <c r="H18">
        <v>0</v>
      </c>
      <c r="I18">
        <v>1</v>
      </c>
      <c r="J18">
        <v>2</v>
      </c>
      <c r="K18">
        <v>1</v>
      </c>
      <c r="L18">
        <v>0</v>
      </c>
      <c r="M18">
        <v>2</v>
      </c>
      <c r="N18">
        <v>2</v>
      </c>
      <c r="O18">
        <v>2</v>
      </c>
      <c r="P18">
        <v>0</v>
      </c>
      <c r="Q18">
        <v>0</v>
      </c>
      <c r="R18">
        <v>0</v>
      </c>
      <c r="S18">
        <v>2</v>
      </c>
      <c r="T18">
        <v>0</v>
      </c>
    </row>
    <row r="19" spans="1:20" x14ac:dyDescent="0.35">
      <c r="A19" t="s">
        <v>90</v>
      </c>
      <c r="B19" t="s">
        <v>143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4</v>
      </c>
      <c r="K19">
        <v>1</v>
      </c>
      <c r="L19">
        <v>0</v>
      </c>
      <c r="M19">
        <v>2</v>
      </c>
      <c r="N19">
        <v>2</v>
      </c>
      <c r="O19">
        <v>1</v>
      </c>
      <c r="P19">
        <v>0</v>
      </c>
      <c r="Q19">
        <v>0</v>
      </c>
      <c r="R19">
        <v>1</v>
      </c>
      <c r="S19">
        <v>1</v>
      </c>
      <c r="T19">
        <v>0</v>
      </c>
    </row>
    <row r="20" spans="1:20" x14ac:dyDescent="0.35">
      <c r="A20" t="s">
        <v>79</v>
      </c>
      <c r="B20" t="s">
        <v>138</v>
      </c>
      <c r="C20">
        <v>1</v>
      </c>
      <c r="D20">
        <v>1</v>
      </c>
      <c r="E20">
        <v>0</v>
      </c>
      <c r="F20">
        <v>0</v>
      </c>
      <c r="G20">
        <v>2</v>
      </c>
      <c r="H20">
        <v>0</v>
      </c>
      <c r="I20">
        <v>2</v>
      </c>
      <c r="J20">
        <v>0</v>
      </c>
      <c r="K20">
        <v>3</v>
      </c>
      <c r="L20">
        <v>0</v>
      </c>
      <c r="M20">
        <v>1</v>
      </c>
      <c r="N20">
        <v>2</v>
      </c>
      <c r="O20">
        <v>1</v>
      </c>
      <c r="P20">
        <v>2</v>
      </c>
      <c r="Q20">
        <v>0</v>
      </c>
      <c r="R20">
        <v>0</v>
      </c>
      <c r="S20">
        <v>1</v>
      </c>
      <c r="T20">
        <v>0</v>
      </c>
    </row>
    <row r="21" spans="1:20" x14ac:dyDescent="0.35">
      <c r="A21" t="s">
        <v>80</v>
      </c>
      <c r="B21" t="s">
        <v>138</v>
      </c>
      <c r="C21">
        <v>1</v>
      </c>
      <c r="D21">
        <v>1</v>
      </c>
      <c r="E21">
        <v>0</v>
      </c>
      <c r="F21">
        <v>0</v>
      </c>
      <c r="G21">
        <v>1</v>
      </c>
      <c r="H21">
        <v>0</v>
      </c>
      <c r="I21">
        <v>1</v>
      </c>
      <c r="J21">
        <v>2</v>
      </c>
      <c r="K21">
        <v>2</v>
      </c>
      <c r="L21">
        <v>0</v>
      </c>
      <c r="M21">
        <v>2</v>
      </c>
      <c r="N21">
        <v>2</v>
      </c>
      <c r="O21">
        <v>0</v>
      </c>
      <c r="P21">
        <v>1</v>
      </c>
      <c r="Q21">
        <v>0</v>
      </c>
      <c r="R21">
        <v>0</v>
      </c>
      <c r="S21">
        <v>1</v>
      </c>
      <c r="T21">
        <v>0</v>
      </c>
    </row>
    <row r="22" spans="1:20" x14ac:dyDescent="0.35">
      <c r="A22" t="s">
        <v>77</v>
      </c>
      <c r="B22" t="s">
        <v>121</v>
      </c>
      <c r="C22">
        <v>1</v>
      </c>
      <c r="D22">
        <v>0</v>
      </c>
      <c r="E22">
        <v>0</v>
      </c>
      <c r="F22">
        <v>0</v>
      </c>
      <c r="G22">
        <v>2</v>
      </c>
      <c r="H22">
        <v>0</v>
      </c>
      <c r="I22">
        <v>0</v>
      </c>
      <c r="J22">
        <v>1</v>
      </c>
      <c r="K22">
        <v>0</v>
      </c>
      <c r="L22">
        <v>2</v>
      </c>
      <c r="M22">
        <v>1</v>
      </c>
      <c r="N22">
        <v>2</v>
      </c>
      <c r="O22">
        <v>1</v>
      </c>
      <c r="P22">
        <v>0</v>
      </c>
      <c r="Q22">
        <v>0</v>
      </c>
      <c r="R22">
        <v>0</v>
      </c>
      <c r="S22">
        <v>3</v>
      </c>
      <c r="T22">
        <v>0</v>
      </c>
    </row>
    <row r="23" spans="1:20" x14ac:dyDescent="0.35">
      <c r="A23" t="s">
        <v>78</v>
      </c>
      <c r="B23" t="s">
        <v>121</v>
      </c>
      <c r="C23">
        <v>0</v>
      </c>
      <c r="D23">
        <v>0</v>
      </c>
      <c r="E23">
        <v>0</v>
      </c>
      <c r="F23">
        <v>0</v>
      </c>
      <c r="G23">
        <v>2</v>
      </c>
      <c r="H23">
        <v>0</v>
      </c>
      <c r="I23">
        <v>0</v>
      </c>
      <c r="J23">
        <v>2</v>
      </c>
      <c r="K23">
        <v>0</v>
      </c>
      <c r="L23">
        <v>1</v>
      </c>
      <c r="M23">
        <v>1</v>
      </c>
      <c r="N23">
        <v>2</v>
      </c>
      <c r="O23">
        <v>0</v>
      </c>
      <c r="P23">
        <v>0</v>
      </c>
      <c r="Q23">
        <v>0</v>
      </c>
      <c r="R23">
        <v>0</v>
      </c>
      <c r="S23">
        <v>2</v>
      </c>
      <c r="T23">
        <v>0</v>
      </c>
    </row>
    <row r="24" spans="1:20" x14ac:dyDescent="0.35">
      <c r="A24" t="s">
        <v>85</v>
      </c>
      <c r="B24" t="s">
        <v>141</v>
      </c>
      <c r="C24">
        <v>2</v>
      </c>
      <c r="D24">
        <v>0</v>
      </c>
      <c r="E24">
        <v>0</v>
      </c>
      <c r="F24">
        <v>1</v>
      </c>
      <c r="G24">
        <v>0</v>
      </c>
      <c r="H24">
        <v>0</v>
      </c>
      <c r="I24">
        <v>2</v>
      </c>
      <c r="J24">
        <v>1</v>
      </c>
      <c r="K24">
        <v>3</v>
      </c>
      <c r="L24">
        <v>0</v>
      </c>
      <c r="M24">
        <v>2</v>
      </c>
      <c r="N24">
        <v>1</v>
      </c>
      <c r="O24">
        <v>2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 x14ac:dyDescent="0.35">
      <c r="A25" t="s">
        <v>86</v>
      </c>
      <c r="B25" t="s">
        <v>141</v>
      </c>
      <c r="C25">
        <v>2</v>
      </c>
      <c r="D25">
        <v>0</v>
      </c>
      <c r="E25">
        <v>0</v>
      </c>
      <c r="F25">
        <v>1</v>
      </c>
      <c r="G25">
        <v>0</v>
      </c>
      <c r="H25">
        <v>0</v>
      </c>
      <c r="I25">
        <v>1</v>
      </c>
      <c r="J25">
        <v>4</v>
      </c>
      <c r="K25">
        <v>2</v>
      </c>
      <c r="L25">
        <v>0</v>
      </c>
      <c r="M25">
        <v>2</v>
      </c>
      <c r="N25">
        <v>2</v>
      </c>
      <c r="O25">
        <v>2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 x14ac:dyDescent="0.35">
      <c r="A26" t="s">
        <v>83</v>
      </c>
      <c r="B26" t="s">
        <v>140</v>
      </c>
      <c r="C26">
        <v>1</v>
      </c>
      <c r="D26">
        <v>2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2</v>
      </c>
      <c r="L26">
        <v>0</v>
      </c>
      <c r="M26">
        <v>3</v>
      </c>
      <c r="N26">
        <v>2</v>
      </c>
      <c r="O26">
        <v>1</v>
      </c>
      <c r="P26">
        <v>2</v>
      </c>
      <c r="Q26">
        <v>0</v>
      </c>
      <c r="R26">
        <v>0</v>
      </c>
      <c r="S26">
        <v>0</v>
      </c>
      <c r="T26">
        <v>0</v>
      </c>
    </row>
    <row r="27" spans="1:20" x14ac:dyDescent="0.35">
      <c r="A27" t="s">
        <v>84</v>
      </c>
      <c r="B27" t="s">
        <v>140</v>
      </c>
      <c r="C27">
        <v>1</v>
      </c>
      <c r="D27">
        <v>2</v>
      </c>
      <c r="E27">
        <v>0</v>
      </c>
      <c r="F27">
        <v>0</v>
      </c>
      <c r="G27">
        <v>0</v>
      </c>
      <c r="H27">
        <v>0</v>
      </c>
      <c r="I27">
        <v>1</v>
      </c>
      <c r="J27">
        <v>3</v>
      </c>
      <c r="K27">
        <v>2</v>
      </c>
      <c r="L27">
        <v>0</v>
      </c>
      <c r="M27">
        <v>2</v>
      </c>
      <c r="N27">
        <v>2</v>
      </c>
      <c r="O27">
        <v>1</v>
      </c>
      <c r="P27">
        <v>2</v>
      </c>
      <c r="Q27">
        <v>0</v>
      </c>
      <c r="R27">
        <v>0</v>
      </c>
      <c r="S27">
        <v>0</v>
      </c>
      <c r="T27">
        <v>0</v>
      </c>
    </row>
    <row r="28" spans="1:20" x14ac:dyDescent="0.35">
      <c r="A28" t="s">
        <v>107</v>
      </c>
      <c r="B28" t="s">
        <v>146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</v>
      </c>
      <c r="M28">
        <v>3</v>
      </c>
      <c r="N28">
        <v>2</v>
      </c>
      <c r="O28">
        <v>3</v>
      </c>
      <c r="P28">
        <v>0</v>
      </c>
      <c r="Q28">
        <v>0</v>
      </c>
      <c r="R28">
        <v>0</v>
      </c>
      <c r="S28">
        <v>1</v>
      </c>
      <c r="T28">
        <v>0</v>
      </c>
    </row>
    <row r="29" spans="1:20" x14ac:dyDescent="0.35">
      <c r="A29" t="s">
        <v>95</v>
      </c>
      <c r="B29" t="s">
        <v>146</v>
      </c>
      <c r="C29">
        <v>1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4</v>
      </c>
      <c r="K29">
        <v>0</v>
      </c>
      <c r="L29">
        <v>1</v>
      </c>
      <c r="M29">
        <v>1</v>
      </c>
      <c r="N29">
        <v>2</v>
      </c>
      <c r="O29">
        <v>2</v>
      </c>
      <c r="P29">
        <v>0</v>
      </c>
      <c r="Q29">
        <v>0</v>
      </c>
      <c r="R29">
        <v>1</v>
      </c>
      <c r="S29">
        <v>0</v>
      </c>
      <c r="T29">
        <v>0</v>
      </c>
    </row>
    <row r="30" spans="1:20" x14ac:dyDescent="0.35">
      <c r="A30" t="s">
        <v>93</v>
      </c>
      <c r="B30" t="s">
        <v>144</v>
      </c>
      <c r="C30">
        <v>2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1</v>
      </c>
      <c r="K30">
        <v>0</v>
      </c>
      <c r="L30">
        <v>1</v>
      </c>
      <c r="M30">
        <v>1</v>
      </c>
      <c r="N30">
        <v>2</v>
      </c>
      <c r="O30">
        <v>2</v>
      </c>
      <c r="P30">
        <v>0</v>
      </c>
      <c r="Q30">
        <v>0</v>
      </c>
      <c r="R30">
        <v>1</v>
      </c>
      <c r="S30">
        <v>1</v>
      </c>
      <c r="T30">
        <v>0</v>
      </c>
    </row>
    <row r="31" spans="1:20" x14ac:dyDescent="0.35">
      <c r="A31" t="s">
        <v>94</v>
      </c>
      <c r="B31" t="s">
        <v>144</v>
      </c>
      <c r="C31">
        <v>2</v>
      </c>
      <c r="D31">
        <v>0</v>
      </c>
      <c r="E31">
        <v>0</v>
      </c>
      <c r="F31">
        <v>2</v>
      </c>
      <c r="G31">
        <v>0</v>
      </c>
      <c r="H31">
        <v>0</v>
      </c>
      <c r="I31">
        <v>0</v>
      </c>
      <c r="J31">
        <v>4</v>
      </c>
      <c r="K31">
        <v>0</v>
      </c>
      <c r="L31">
        <v>0</v>
      </c>
      <c r="M31">
        <v>1</v>
      </c>
      <c r="N31">
        <v>3</v>
      </c>
      <c r="O31">
        <v>3</v>
      </c>
      <c r="P31">
        <v>0</v>
      </c>
      <c r="Q31">
        <v>0</v>
      </c>
      <c r="R31">
        <v>3</v>
      </c>
      <c r="S31">
        <v>2</v>
      </c>
      <c r="T31">
        <v>0</v>
      </c>
    </row>
    <row r="32" spans="1:20" x14ac:dyDescent="0.35">
      <c r="A32" t="s">
        <v>6</v>
      </c>
      <c r="B32" t="s">
        <v>122</v>
      </c>
      <c r="C32">
        <v>1</v>
      </c>
      <c r="D32">
        <v>0</v>
      </c>
      <c r="E32">
        <v>0</v>
      </c>
      <c r="F32">
        <v>2</v>
      </c>
      <c r="G32">
        <v>0</v>
      </c>
      <c r="H32">
        <v>0</v>
      </c>
      <c r="I32">
        <v>1</v>
      </c>
      <c r="J32">
        <v>1</v>
      </c>
      <c r="K32">
        <v>0</v>
      </c>
      <c r="L32">
        <v>1</v>
      </c>
      <c r="M32">
        <v>4</v>
      </c>
      <c r="N32">
        <v>1</v>
      </c>
      <c r="O32">
        <v>0</v>
      </c>
      <c r="P32">
        <v>0</v>
      </c>
      <c r="Q32">
        <v>0</v>
      </c>
      <c r="R32">
        <v>4</v>
      </c>
      <c r="S32">
        <v>0</v>
      </c>
      <c r="T32">
        <v>0</v>
      </c>
    </row>
    <row r="33" spans="1:20" x14ac:dyDescent="0.35">
      <c r="A33" t="s">
        <v>7</v>
      </c>
      <c r="B33" t="s">
        <v>122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2</v>
      </c>
      <c r="J33">
        <v>2</v>
      </c>
      <c r="K33">
        <v>0</v>
      </c>
      <c r="L33">
        <v>0</v>
      </c>
      <c r="M33">
        <v>3</v>
      </c>
      <c r="N33">
        <v>2</v>
      </c>
      <c r="O33">
        <v>0</v>
      </c>
      <c r="P33">
        <v>0</v>
      </c>
      <c r="Q33">
        <v>0</v>
      </c>
      <c r="R33">
        <v>3</v>
      </c>
      <c r="S33">
        <v>0</v>
      </c>
      <c r="T33">
        <v>0</v>
      </c>
    </row>
    <row r="35" spans="1:20" x14ac:dyDescent="0.35">
      <c r="B35" t="s">
        <v>343</v>
      </c>
      <c r="C35" s="3"/>
      <c r="D35" s="3"/>
      <c r="E35" s="3"/>
      <c r="F35" s="3"/>
      <c r="G35" s="3" t="s">
        <v>344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58"/>
    </row>
    <row r="36" spans="1:20" x14ac:dyDescent="0.35">
      <c r="B36" t="s">
        <v>339</v>
      </c>
      <c r="C36" s="3" t="s">
        <v>340</v>
      </c>
      <c r="D36" s="3" t="s">
        <v>342</v>
      </c>
      <c r="E36" s="3" t="s">
        <v>341</v>
      </c>
      <c r="F36" s="3" t="s">
        <v>331</v>
      </c>
      <c r="G36" t="s">
        <v>339</v>
      </c>
      <c r="H36" s="3" t="s">
        <v>340</v>
      </c>
      <c r="I36" s="3" t="s">
        <v>342</v>
      </c>
      <c r="J36" s="3" t="s">
        <v>341</v>
      </c>
      <c r="K36" s="3" t="s">
        <v>331</v>
      </c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35">
      <c r="A37" s="3" t="s">
        <v>193</v>
      </c>
      <c r="B37" s="7">
        <v>1</v>
      </c>
      <c r="C37" s="7">
        <v>4</v>
      </c>
      <c r="D37" s="7">
        <v>1</v>
      </c>
      <c r="E37" s="7">
        <v>3</v>
      </c>
      <c r="F37" s="7">
        <v>4</v>
      </c>
      <c r="G37" s="7">
        <v>0</v>
      </c>
      <c r="H37" s="7">
        <v>0</v>
      </c>
      <c r="I37" s="7">
        <v>2</v>
      </c>
      <c r="J37" s="7">
        <v>1</v>
      </c>
      <c r="K37" s="7">
        <v>1</v>
      </c>
    </row>
    <row r="38" spans="1:20" x14ac:dyDescent="0.35">
      <c r="A38" s="3" t="s">
        <v>194</v>
      </c>
      <c r="B38" s="7">
        <v>4</v>
      </c>
      <c r="C38" s="7">
        <v>1</v>
      </c>
      <c r="D38" s="7">
        <v>3</v>
      </c>
      <c r="E38" s="7">
        <v>0</v>
      </c>
      <c r="F38" s="7">
        <v>2</v>
      </c>
      <c r="G38" s="7">
        <v>3</v>
      </c>
      <c r="H38" s="7">
        <v>4</v>
      </c>
      <c r="I38" s="7">
        <v>0</v>
      </c>
      <c r="J38" s="7">
        <v>0</v>
      </c>
      <c r="K38" s="7">
        <v>0</v>
      </c>
    </row>
    <row r="39" spans="1:20" x14ac:dyDescent="0.35">
      <c r="A39" s="3" t="s">
        <v>195</v>
      </c>
      <c r="B39" s="7">
        <v>0</v>
      </c>
      <c r="C39" s="7">
        <v>0</v>
      </c>
      <c r="D39" s="7">
        <v>0</v>
      </c>
      <c r="E39" s="7">
        <v>0</v>
      </c>
      <c r="F39" s="7">
        <v>1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</row>
    <row r="40" spans="1:20" x14ac:dyDescent="0.35">
      <c r="A40" s="3" t="s">
        <v>266</v>
      </c>
      <c r="B40" s="7">
        <v>0</v>
      </c>
      <c r="C40" s="7">
        <v>0</v>
      </c>
      <c r="D40" s="7">
        <v>0</v>
      </c>
      <c r="E40" s="7">
        <v>4</v>
      </c>
      <c r="F40" s="7">
        <v>0</v>
      </c>
      <c r="G40" s="7">
        <v>0</v>
      </c>
      <c r="H40" s="7">
        <v>0</v>
      </c>
      <c r="I40" s="7">
        <v>2</v>
      </c>
      <c r="J40" s="7">
        <v>2</v>
      </c>
      <c r="K40" s="7">
        <v>0</v>
      </c>
    </row>
    <row r="41" spans="1:20" x14ac:dyDescent="0.35">
      <c r="A41" s="3" t="s">
        <v>196</v>
      </c>
      <c r="B41" s="7">
        <v>0</v>
      </c>
      <c r="C41" s="7">
        <v>1</v>
      </c>
      <c r="D41" s="7">
        <v>2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2</v>
      </c>
    </row>
    <row r="42" spans="1:20" x14ac:dyDescent="0.35">
      <c r="A42" s="3" t="s">
        <v>198</v>
      </c>
      <c r="B42" s="7">
        <v>0</v>
      </c>
      <c r="C42" s="7">
        <v>1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</row>
    <row r="43" spans="1:20" x14ac:dyDescent="0.35">
      <c r="A43" s="3" t="s">
        <v>113</v>
      </c>
      <c r="B43" s="7">
        <v>0</v>
      </c>
      <c r="C43" s="7">
        <v>0</v>
      </c>
      <c r="D43" s="7">
        <v>0</v>
      </c>
      <c r="E43" s="7">
        <v>0</v>
      </c>
      <c r="F43" s="7">
        <v>1</v>
      </c>
      <c r="G43" s="7">
        <v>1</v>
      </c>
      <c r="H43" s="7">
        <v>0</v>
      </c>
      <c r="I43" s="7">
        <v>1</v>
      </c>
      <c r="J43" s="7">
        <v>0</v>
      </c>
      <c r="K43" s="7">
        <v>1</v>
      </c>
      <c r="O43" s="3"/>
      <c r="P43" s="3"/>
    </row>
    <row r="44" spans="1:20" x14ac:dyDescent="0.35">
      <c r="A44" s="3" t="s">
        <v>114</v>
      </c>
      <c r="B44" s="7">
        <v>2</v>
      </c>
      <c r="C44" s="7">
        <v>1</v>
      </c>
      <c r="D44" s="7">
        <v>1</v>
      </c>
      <c r="E44" s="7">
        <v>1</v>
      </c>
      <c r="F44" s="7">
        <v>1</v>
      </c>
      <c r="G44" s="7">
        <v>1</v>
      </c>
      <c r="H44" s="7">
        <v>2</v>
      </c>
      <c r="I44" s="7">
        <v>2</v>
      </c>
      <c r="J44" s="7">
        <v>1</v>
      </c>
      <c r="K44" s="7">
        <v>1</v>
      </c>
      <c r="O44" s="3"/>
      <c r="P44" s="3"/>
    </row>
    <row r="45" spans="1:20" x14ac:dyDescent="0.35">
      <c r="A45" s="3" t="s">
        <v>115</v>
      </c>
      <c r="B45" s="7">
        <v>2</v>
      </c>
      <c r="C45" s="7">
        <v>1</v>
      </c>
      <c r="D45" s="7">
        <v>0</v>
      </c>
      <c r="E45" s="7">
        <v>0</v>
      </c>
      <c r="F45" s="7">
        <v>0</v>
      </c>
      <c r="G45" s="7">
        <v>2</v>
      </c>
      <c r="H45" s="7">
        <v>0</v>
      </c>
      <c r="I45" s="7">
        <v>1</v>
      </c>
      <c r="J45" s="7">
        <v>0</v>
      </c>
      <c r="K45" s="7">
        <v>0</v>
      </c>
      <c r="O45" s="3"/>
      <c r="P45" s="3"/>
    </row>
    <row r="46" spans="1:20" x14ac:dyDescent="0.35">
      <c r="A46" s="3" t="s">
        <v>116</v>
      </c>
      <c r="B46" s="7">
        <v>1</v>
      </c>
      <c r="C46" s="7">
        <v>0</v>
      </c>
      <c r="D46" s="7">
        <v>1</v>
      </c>
      <c r="E46" s="7">
        <v>2</v>
      </c>
      <c r="F46" s="7">
        <v>3</v>
      </c>
      <c r="G46" s="7">
        <v>1</v>
      </c>
      <c r="H46" s="7">
        <v>0</v>
      </c>
      <c r="I46" s="7">
        <v>0</v>
      </c>
      <c r="J46" s="7">
        <v>2</v>
      </c>
      <c r="K46" s="7">
        <v>1</v>
      </c>
      <c r="O46" s="3"/>
      <c r="P46" s="3"/>
    </row>
    <row r="47" spans="1:20" x14ac:dyDescent="0.35">
      <c r="A47" s="3" t="s">
        <v>117</v>
      </c>
      <c r="B47" s="7">
        <v>1</v>
      </c>
      <c r="C47" s="7">
        <v>2</v>
      </c>
      <c r="D47" s="7">
        <v>2</v>
      </c>
      <c r="E47" s="7">
        <v>3</v>
      </c>
      <c r="F47" s="7">
        <v>5</v>
      </c>
      <c r="G47" s="7">
        <v>1</v>
      </c>
      <c r="H47" s="7">
        <v>3</v>
      </c>
      <c r="I47" s="7">
        <v>2</v>
      </c>
      <c r="J47" s="7">
        <v>1</v>
      </c>
      <c r="K47" s="7">
        <v>4</v>
      </c>
      <c r="O47" s="3"/>
      <c r="P47" s="3"/>
    </row>
    <row r="48" spans="1:20" x14ac:dyDescent="0.35">
      <c r="A48" s="3" t="s">
        <v>118</v>
      </c>
      <c r="B48" s="7">
        <v>1</v>
      </c>
      <c r="C48" s="7">
        <v>2</v>
      </c>
      <c r="D48" s="7">
        <v>1</v>
      </c>
      <c r="E48" s="7">
        <v>3</v>
      </c>
      <c r="F48" s="7">
        <v>3</v>
      </c>
      <c r="G48" s="7">
        <v>2</v>
      </c>
      <c r="H48" s="7">
        <v>1</v>
      </c>
      <c r="I48" s="7">
        <v>2</v>
      </c>
      <c r="J48" s="7">
        <v>2</v>
      </c>
      <c r="K48" s="7">
        <v>1</v>
      </c>
      <c r="O48" s="3"/>
      <c r="P48" s="3"/>
    </row>
    <row r="49" spans="1:16" x14ac:dyDescent="0.35">
      <c r="A49" s="3" t="s">
        <v>199</v>
      </c>
      <c r="B49" s="7">
        <v>1</v>
      </c>
      <c r="C49" s="7">
        <v>2</v>
      </c>
      <c r="D49" s="7">
        <v>1</v>
      </c>
      <c r="E49" s="7">
        <v>2</v>
      </c>
      <c r="F49" s="7">
        <v>5</v>
      </c>
      <c r="G49" s="7">
        <v>1</v>
      </c>
      <c r="H49" s="7">
        <v>0</v>
      </c>
      <c r="I49" s="7">
        <v>2</v>
      </c>
      <c r="J49" s="7">
        <v>1</v>
      </c>
      <c r="K49" s="7">
        <v>0</v>
      </c>
      <c r="O49" s="3"/>
      <c r="P49" s="3"/>
    </row>
    <row r="50" spans="1:16" x14ac:dyDescent="0.35">
      <c r="A50" s="3" t="s">
        <v>200</v>
      </c>
      <c r="B50" s="7">
        <v>5</v>
      </c>
      <c r="C50" s="7">
        <v>1</v>
      </c>
      <c r="D50" s="7">
        <v>3</v>
      </c>
      <c r="E50" s="7">
        <v>0</v>
      </c>
      <c r="F50" s="7">
        <v>1</v>
      </c>
      <c r="G50" s="7">
        <v>4</v>
      </c>
      <c r="H50" s="7">
        <v>4</v>
      </c>
      <c r="I50" s="7">
        <v>0</v>
      </c>
      <c r="J50" s="7">
        <v>0</v>
      </c>
      <c r="K50" s="7">
        <v>0</v>
      </c>
      <c r="O50" s="3"/>
      <c r="P50" s="3"/>
    </row>
    <row r="51" spans="1:16" x14ac:dyDescent="0.35">
      <c r="A51" s="3" t="s">
        <v>201</v>
      </c>
      <c r="B51" s="7">
        <v>1</v>
      </c>
      <c r="C51" s="7">
        <v>0</v>
      </c>
      <c r="D51" s="7">
        <v>0</v>
      </c>
      <c r="E51" s="7">
        <v>0</v>
      </c>
      <c r="F51" s="7">
        <v>2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O51" s="3"/>
      <c r="P51" s="3"/>
    </row>
    <row r="52" spans="1:16" x14ac:dyDescent="0.35">
      <c r="A52" s="3" t="s">
        <v>267</v>
      </c>
      <c r="B52" s="7">
        <v>0</v>
      </c>
      <c r="C52" s="7">
        <v>0</v>
      </c>
      <c r="D52" s="7">
        <v>0</v>
      </c>
      <c r="E52" s="7">
        <v>4</v>
      </c>
      <c r="F52" s="7">
        <v>0</v>
      </c>
      <c r="G52" s="7">
        <v>0</v>
      </c>
      <c r="H52" s="7">
        <v>0</v>
      </c>
      <c r="I52" s="7">
        <v>2</v>
      </c>
      <c r="J52" s="7">
        <v>3</v>
      </c>
      <c r="K52" s="7">
        <v>0</v>
      </c>
      <c r="O52" s="3"/>
      <c r="P52" s="3"/>
    </row>
    <row r="53" spans="1:16" x14ac:dyDescent="0.35">
      <c r="A53" s="3" t="s">
        <v>202</v>
      </c>
      <c r="B53" s="7">
        <v>0</v>
      </c>
      <c r="C53" s="7">
        <v>1</v>
      </c>
      <c r="D53" s="7">
        <v>1</v>
      </c>
      <c r="E53" s="7">
        <v>0</v>
      </c>
      <c r="F53" s="7">
        <v>1</v>
      </c>
      <c r="G53" s="7">
        <v>0</v>
      </c>
      <c r="H53" s="7">
        <v>0</v>
      </c>
      <c r="I53" s="7">
        <v>0</v>
      </c>
      <c r="J53" s="7">
        <v>0</v>
      </c>
      <c r="K53" s="7">
        <v>4</v>
      </c>
      <c r="O53" s="3"/>
      <c r="P53" s="3"/>
    </row>
    <row r="54" spans="1:16" x14ac:dyDescent="0.35">
      <c r="A54" s="3" t="s">
        <v>204</v>
      </c>
      <c r="B54" s="7">
        <v>0</v>
      </c>
      <c r="C54" s="7">
        <v>2</v>
      </c>
      <c r="D54" s="7">
        <v>0</v>
      </c>
      <c r="E54" s="7">
        <v>0</v>
      </c>
      <c r="F54" s="7">
        <v>0</v>
      </c>
      <c r="G54" s="7">
        <v>0</v>
      </c>
      <c r="H54" s="7">
        <v>2</v>
      </c>
      <c r="I54" s="7">
        <v>0</v>
      </c>
      <c r="J54" s="7">
        <v>0</v>
      </c>
      <c r="K54" s="7">
        <v>0</v>
      </c>
      <c r="O54" s="3"/>
      <c r="P54" s="3"/>
    </row>
    <row r="55" spans="1:16" x14ac:dyDescent="0.35">
      <c r="A55" s="3" t="s">
        <v>345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1</v>
      </c>
      <c r="H55" s="7">
        <v>1</v>
      </c>
      <c r="I55" s="7">
        <v>1</v>
      </c>
      <c r="J55" s="7">
        <v>0</v>
      </c>
      <c r="K55" s="7">
        <v>0</v>
      </c>
      <c r="O55" s="3"/>
      <c r="P55" s="3"/>
    </row>
    <row r="56" spans="1:16" x14ac:dyDescent="0.35">
      <c r="O56" s="3"/>
      <c r="P56" s="3"/>
    </row>
    <row r="57" spans="1:16" x14ac:dyDescent="0.35">
      <c r="A57" s="3"/>
      <c r="O57" s="3"/>
      <c r="P57" s="3"/>
    </row>
    <row r="58" spans="1:16" x14ac:dyDescent="0.35">
      <c r="A58" s="3"/>
      <c r="O58" s="3"/>
      <c r="P58" s="3"/>
    </row>
    <row r="59" spans="1:16" x14ac:dyDescent="0.35">
      <c r="A59" s="3"/>
      <c r="O59" s="3"/>
      <c r="P59" s="3"/>
    </row>
    <row r="60" spans="1:16" x14ac:dyDescent="0.35">
      <c r="A60" s="3"/>
      <c r="O60" s="3"/>
      <c r="P60" s="3"/>
    </row>
    <row r="61" spans="1:16" x14ac:dyDescent="0.35">
      <c r="A61" s="3"/>
    </row>
    <row r="62" spans="1:16" x14ac:dyDescent="0.35">
      <c r="A62" s="3"/>
    </row>
    <row r="63" spans="1:16" x14ac:dyDescent="0.35">
      <c r="A63" s="3"/>
    </row>
    <row r="64" spans="1:16" x14ac:dyDescent="0.35">
      <c r="A64" s="3"/>
    </row>
    <row r="65" spans="1:1" x14ac:dyDescent="0.35">
      <c r="A65" s="3"/>
    </row>
    <row r="66" spans="1:1" x14ac:dyDescent="0.35">
      <c r="A66" s="3"/>
    </row>
    <row r="67" spans="1:1" x14ac:dyDescent="0.35">
      <c r="A67" s="3"/>
    </row>
    <row r="68" spans="1:1" x14ac:dyDescent="0.35">
      <c r="A68" s="3"/>
    </row>
    <row r="69" spans="1:1" x14ac:dyDescent="0.35">
      <c r="A69" s="3"/>
    </row>
    <row r="70" spans="1:1" x14ac:dyDescent="0.35">
      <c r="A70" s="3"/>
    </row>
    <row r="71" spans="1:1" x14ac:dyDescent="0.35">
      <c r="A71" s="3"/>
    </row>
    <row r="72" spans="1:1" x14ac:dyDescent="0.35">
      <c r="A72" s="3"/>
    </row>
    <row r="73" spans="1:1" x14ac:dyDescent="0.35">
      <c r="A73" s="3"/>
    </row>
    <row r="74" spans="1:1" x14ac:dyDescent="0.35">
      <c r="A74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FC889-0445-4310-B5A1-444BFE019DFB}">
  <dimension ref="A1:T17"/>
  <sheetViews>
    <sheetView workbookViewId="0">
      <selection sqref="A1:T17"/>
    </sheetView>
  </sheetViews>
  <sheetFormatPr defaultRowHeight="14.5" x14ac:dyDescent="0.35"/>
  <cols>
    <col min="1" max="1" width="13.1796875" bestFit="1" customWidth="1"/>
    <col min="2" max="2" width="22.7265625" bestFit="1" customWidth="1"/>
  </cols>
  <sheetData>
    <row r="1" spans="1:20" x14ac:dyDescent="0.35">
      <c r="A1" t="s">
        <v>111</v>
      </c>
      <c r="B1" t="s">
        <v>112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132</v>
      </c>
      <c r="P1" t="s">
        <v>133</v>
      </c>
      <c r="Q1" t="s">
        <v>134</v>
      </c>
      <c r="R1" t="s">
        <v>135</v>
      </c>
      <c r="S1" t="s">
        <v>136</v>
      </c>
      <c r="T1" t="s">
        <v>137</v>
      </c>
    </row>
    <row r="2" spans="1:20" x14ac:dyDescent="0.35">
      <c r="A2" t="s">
        <v>11</v>
      </c>
      <c r="B2" t="s">
        <v>124</v>
      </c>
      <c r="C2">
        <v>0</v>
      </c>
      <c r="D2">
        <v>0</v>
      </c>
      <c r="E2">
        <v>0</v>
      </c>
      <c r="F2">
        <v>1</v>
      </c>
      <c r="G2">
        <v>2</v>
      </c>
      <c r="H2">
        <v>0</v>
      </c>
      <c r="I2">
        <v>1</v>
      </c>
      <c r="J2">
        <v>1</v>
      </c>
      <c r="K2">
        <v>0</v>
      </c>
      <c r="L2">
        <v>3</v>
      </c>
      <c r="M2">
        <v>2</v>
      </c>
      <c r="N2">
        <v>3</v>
      </c>
      <c r="O2">
        <v>0</v>
      </c>
      <c r="P2">
        <v>0</v>
      </c>
      <c r="Q2">
        <v>0</v>
      </c>
      <c r="R2">
        <v>1</v>
      </c>
      <c r="S2">
        <v>2</v>
      </c>
      <c r="T2">
        <v>0</v>
      </c>
    </row>
    <row r="3" spans="1:20" x14ac:dyDescent="0.35">
      <c r="A3" t="s">
        <v>8</v>
      </c>
      <c r="B3" t="s">
        <v>123</v>
      </c>
      <c r="C3">
        <v>1</v>
      </c>
      <c r="D3">
        <v>1</v>
      </c>
      <c r="E3">
        <v>0</v>
      </c>
      <c r="F3">
        <v>1</v>
      </c>
      <c r="G3">
        <v>0</v>
      </c>
      <c r="H3">
        <v>0</v>
      </c>
      <c r="I3">
        <v>2</v>
      </c>
      <c r="J3">
        <v>2</v>
      </c>
      <c r="K3">
        <v>0</v>
      </c>
      <c r="L3">
        <v>2</v>
      </c>
      <c r="M3">
        <v>3</v>
      </c>
      <c r="N3">
        <v>2</v>
      </c>
      <c r="O3">
        <v>3</v>
      </c>
      <c r="P3">
        <v>1</v>
      </c>
      <c r="Q3">
        <v>0</v>
      </c>
      <c r="R3">
        <v>1</v>
      </c>
      <c r="S3">
        <v>0</v>
      </c>
      <c r="T3">
        <v>0</v>
      </c>
    </row>
    <row r="4" spans="1:20" x14ac:dyDescent="0.35">
      <c r="A4" t="s">
        <v>87</v>
      </c>
      <c r="B4" t="s">
        <v>142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2</v>
      </c>
      <c r="L4">
        <v>0</v>
      </c>
      <c r="M4">
        <v>3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35">
      <c r="A5" t="s">
        <v>73</v>
      </c>
      <c r="B5" t="s">
        <v>119</v>
      </c>
      <c r="C5">
        <v>2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2</v>
      </c>
      <c r="K5">
        <v>2</v>
      </c>
      <c r="L5">
        <v>1</v>
      </c>
      <c r="M5">
        <v>2</v>
      </c>
      <c r="N5">
        <v>1</v>
      </c>
      <c r="O5">
        <v>4</v>
      </c>
      <c r="P5">
        <v>1</v>
      </c>
      <c r="Q5">
        <v>0</v>
      </c>
      <c r="R5">
        <v>0</v>
      </c>
      <c r="S5">
        <v>0</v>
      </c>
      <c r="T5">
        <v>0</v>
      </c>
    </row>
    <row r="6" spans="1:20" x14ac:dyDescent="0.35">
      <c r="A6" t="s">
        <v>4</v>
      </c>
      <c r="B6" t="s">
        <v>125</v>
      </c>
      <c r="C6">
        <v>0</v>
      </c>
      <c r="D6">
        <v>3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2</v>
      </c>
      <c r="L6">
        <v>1</v>
      </c>
      <c r="M6">
        <v>1</v>
      </c>
      <c r="N6">
        <v>2</v>
      </c>
      <c r="O6">
        <v>1</v>
      </c>
      <c r="P6">
        <v>4</v>
      </c>
      <c r="Q6">
        <v>0</v>
      </c>
      <c r="R6">
        <v>0</v>
      </c>
      <c r="S6">
        <v>0</v>
      </c>
      <c r="T6">
        <v>0</v>
      </c>
    </row>
    <row r="7" spans="1:20" x14ac:dyDescent="0.35">
      <c r="A7" t="s">
        <v>75</v>
      </c>
      <c r="B7" t="s">
        <v>120</v>
      </c>
      <c r="C7">
        <v>0</v>
      </c>
      <c r="D7">
        <v>4</v>
      </c>
      <c r="E7">
        <v>0</v>
      </c>
      <c r="F7">
        <v>0</v>
      </c>
      <c r="G7">
        <v>0</v>
      </c>
      <c r="H7">
        <v>0</v>
      </c>
      <c r="I7">
        <v>0</v>
      </c>
      <c r="J7">
        <v>2</v>
      </c>
      <c r="K7">
        <v>0</v>
      </c>
      <c r="L7">
        <v>0</v>
      </c>
      <c r="M7">
        <v>3</v>
      </c>
      <c r="N7">
        <v>1</v>
      </c>
      <c r="O7">
        <v>0</v>
      </c>
      <c r="P7">
        <v>4</v>
      </c>
      <c r="Q7">
        <v>0</v>
      </c>
      <c r="R7">
        <v>0</v>
      </c>
      <c r="S7">
        <v>0</v>
      </c>
      <c r="T7">
        <v>2</v>
      </c>
    </row>
    <row r="8" spans="1:20" x14ac:dyDescent="0.35">
      <c r="A8" t="s">
        <v>81</v>
      </c>
      <c r="B8" t="s">
        <v>139</v>
      </c>
      <c r="C8">
        <v>1</v>
      </c>
      <c r="D8">
        <v>1</v>
      </c>
      <c r="E8">
        <v>0</v>
      </c>
      <c r="F8">
        <v>0</v>
      </c>
      <c r="G8">
        <v>1</v>
      </c>
      <c r="H8">
        <v>0</v>
      </c>
      <c r="I8">
        <v>2</v>
      </c>
      <c r="J8">
        <v>0</v>
      </c>
      <c r="K8">
        <v>1</v>
      </c>
      <c r="L8">
        <v>0</v>
      </c>
      <c r="M8">
        <v>1</v>
      </c>
      <c r="N8">
        <v>1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</row>
    <row r="9" spans="1:20" x14ac:dyDescent="0.35">
      <c r="A9" t="s">
        <v>91</v>
      </c>
      <c r="B9" t="s">
        <v>145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2</v>
      </c>
      <c r="L9">
        <v>0</v>
      </c>
      <c r="M9">
        <v>2</v>
      </c>
      <c r="N9">
        <v>1</v>
      </c>
      <c r="O9">
        <v>2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35">
      <c r="A10" t="s">
        <v>89</v>
      </c>
      <c r="B10" t="s">
        <v>143</v>
      </c>
      <c r="C10">
        <v>2</v>
      </c>
      <c r="D10">
        <v>0</v>
      </c>
      <c r="E10">
        <v>0</v>
      </c>
      <c r="F10">
        <v>0</v>
      </c>
      <c r="G10">
        <v>2</v>
      </c>
      <c r="H10">
        <v>0</v>
      </c>
      <c r="I10">
        <v>1</v>
      </c>
      <c r="J10">
        <v>2</v>
      </c>
      <c r="K10">
        <v>1</v>
      </c>
      <c r="L10">
        <v>0</v>
      </c>
      <c r="M10">
        <v>2</v>
      </c>
      <c r="N10">
        <v>2</v>
      </c>
      <c r="O10">
        <v>2</v>
      </c>
      <c r="P10">
        <v>0</v>
      </c>
      <c r="Q10">
        <v>0</v>
      </c>
      <c r="R10">
        <v>0</v>
      </c>
      <c r="S10">
        <v>2</v>
      </c>
      <c r="T10">
        <v>0</v>
      </c>
    </row>
    <row r="11" spans="1:20" x14ac:dyDescent="0.35">
      <c r="A11" t="s">
        <v>79</v>
      </c>
      <c r="B11" t="s">
        <v>138</v>
      </c>
      <c r="C11">
        <v>1</v>
      </c>
      <c r="D11">
        <v>1</v>
      </c>
      <c r="E11">
        <v>0</v>
      </c>
      <c r="F11">
        <v>0</v>
      </c>
      <c r="G11">
        <v>2</v>
      </c>
      <c r="H11">
        <v>0</v>
      </c>
      <c r="I11">
        <v>2</v>
      </c>
      <c r="J11">
        <v>0</v>
      </c>
      <c r="K11">
        <v>3</v>
      </c>
      <c r="L11">
        <v>0</v>
      </c>
      <c r="M11">
        <v>1</v>
      </c>
      <c r="N11">
        <v>2</v>
      </c>
      <c r="O11">
        <v>1</v>
      </c>
      <c r="P11">
        <v>2</v>
      </c>
      <c r="Q11">
        <v>0</v>
      </c>
      <c r="R11">
        <v>0</v>
      </c>
      <c r="S11">
        <v>1</v>
      </c>
      <c r="T11">
        <v>0</v>
      </c>
    </row>
    <row r="12" spans="1:20" x14ac:dyDescent="0.35">
      <c r="A12" t="s">
        <v>77</v>
      </c>
      <c r="B12" t="s">
        <v>121</v>
      </c>
      <c r="C12">
        <v>1</v>
      </c>
      <c r="D12">
        <v>0</v>
      </c>
      <c r="E12">
        <v>0</v>
      </c>
      <c r="F12">
        <v>0</v>
      </c>
      <c r="G12">
        <v>2</v>
      </c>
      <c r="H12">
        <v>0</v>
      </c>
      <c r="I12">
        <v>0</v>
      </c>
      <c r="J12">
        <v>1</v>
      </c>
      <c r="K12">
        <v>0</v>
      </c>
      <c r="L12">
        <v>2</v>
      </c>
      <c r="M12">
        <v>1</v>
      </c>
      <c r="N12">
        <v>2</v>
      </c>
      <c r="O12">
        <v>1</v>
      </c>
      <c r="P12">
        <v>0</v>
      </c>
      <c r="Q12">
        <v>0</v>
      </c>
      <c r="R12">
        <v>0</v>
      </c>
      <c r="S12">
        <v>3</v>
      </c>
      <c r="T12">
        <v>0</v>
      </c>
    </row>
    <row r="13" spans="1:20" x14ac:dyDescent="0.35">
      <c r="A13" t="s">
        <v>85</v>
      </c>
      <c r="B13" t="s">
        <v>141</v>
      </c>
      <c r="C13">
        <v>2</v>
      </c>
      <c r="D13">
        <v>0</v>
      </c>
      <c r="E13">
        <v>0</v>
      </c>
      <c r="F13">
        <v>1</v>
      </c>
      <c r="G13">
        <v>0</v>
      </c>
      <c r="H13">
        <v>0</v>
      </c>
      <c r="I13">
        <v>2</v>
      </c>
      <c r="J13">
        <v>1</v>
      </c>
      <c r="K13">
        <v>3</v>
      </c>
      <c r="L13">
        <v>0</v>
      </c>
      <c r="M13">
        <v>2</v>
      </c>
      <c r="N13">
        <v>1</v>
      </c>
      <c r="O13">
        <v>2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35">
      <c r="A14" t="s">
        <v>83</v>
      </c>
      <c r="B14" t="s">
        <v>140</v>
      </c>
      <c r="C14">
        <v>1</v>
      </c>
      <c r="D14">
        <v>2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2</v>
      </c>
      <c r="L14">
        <v>0</v>
      </c>
      <c r="M14">
        <v>3</v>
      </c>
      <c r="N14">
        <v>2</v>
      </c>
      <c r="O14">
        <v>1</v>
      </c>
      <c r="P14">
        <v>2</v>
      </c>
      <c r="Q14">
        <v>0</v>
      </c>
      <c r="R14">
        <v>0</v>
      </c>
      <c r="S14">
        <v>0</v>
      </c>
      <c r="T14">
        <v>0</v>
      </c>
    </row>
    <row r="15" spans="1:20" x14ac:dyDescent="0.35">
      <c r="A15" t="s">
        <v>107</v>
      </c>
      <c r="B15" t="s">
        <v>146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</v>
      </c>
      <c r="M15">
        <v>3</v>
      </c>
      <c r="N15">
        <v>2</v>
      </c>
      <c r="O15">
        <v>3</v>
      </c>
      <c r="P15">
        <v>0</v>
      </c>
      <c r="Q15">
        <v>0</v>
      </c>
      <c r="R15">
        <v>0</v>
      </c>
      <c r="S15">
        <v>1</v>
      </c>
      <c r="T15">
        <v>0</v>
      </c>
    </row>
    <row r="16" spans="1:20" x14ac:dyDescent="0.35">
      <c r="A16" t="s">
        <v>93</v>
      </c>
      <c r="B16" t="s">
        <v>144</v>
      </c>
      <c r="C16">
        <v>2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1</v>
      </c>
      <c r="K16">
        <v>0</v>
      </c>
      <c r="L16">
        <v>1</v>
      </c>
      <c r="M16">
        <v>1</v>
      </c>
      <c r="N16">
        <v>2</v>
      </c>
      <c r="O16">
        <v>2</v>
      </c>
      <c r="P16">
        <v>0</v>
      </c>
      <c r="Q16">
        <v>0</v>
      </c>
      <c r="R16">
        <v>1</v>
      </c>
      <c r="S16">
        <v>1</v>
      </c>
      <c r="T16">
        <v>0</v>
      </c>
    </row>
    <row r="17" spans="1:20" x14ac:dyDescent="0.35">
      <c r="A17" t="s">
        <v>6</v>
      </c>
      <c r="B17" t="s">
        <v>122</v>
      </c>
      <c r="C17">
        <v>1</v>
      </c>
      <c r="D17">
        <v>0</v>
      </c>
      <c r="E17">
        <v>0</v>
      </c>
      <c r="F17">
        <v>2</v>
      </c>
      <c r="G17">
        <v>0</v>
      </c>
      <c r="H17">
        <v>0</v>
      </c>
      <c r="I17">
        <v>1</v>
      </c>
      <c r="J17">
        <v>1</v>
      </c>
      <c r="K17">
        <v>0</v>
      </c>
      <c r="L17">
        <v>1</v>
      </c>
      <c r="M17">
        <v>4</v>
      </c>
      <c r="N17">
        <v>1</v>
      </c>
      <c r="O17">
        <v>0</v>
      </c>
      <c r="P17">
        <v>0</v>
      </c>
      <c r="Q17">
        <v>0</v>
      </c>
      <c r="R17">
        <v>4</v>
      </c>
      <c r="S17">
        <v>0</v>
      </c>
      <c r="T17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9F1FC-0624-470A-B5AA-AD312590084F}">
  <dimension ref="A1:T17"/>
  <sheetViews>
    <sheetView workbookViewId="0">
      <selection activeCell="D7" sqref="D7"/>
    </sheetView>
  </sheetViews>
  <sheetFormatPr defaultRowHeight="14.5" x14ac:dyDescent="0.35"/>
  <cols>
    <col min="1" max="1" width="11.7265625" bestFit="1" customWidth="1"/>
    <col min="2" max="2" width="22.7265625" bestFit="1" customWidth="1"/>
  </cols>
  <sheetData>
    <row r="1" spans="1:20" x14ac:dyDescent="0.35">
      <c r="A1" t="s">
        <v>111</v>
      </c>
      <c r="B1" t="s">
        <v>112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132</v>
      </c>
      <c r="P1" t="s">
        <v>133</v>
      </c>
      <c r="Q1" t="s">
        <v>134</v>
      </c>
      <c r="R1" t="s">
        <v>135</v>
      </c>
      <c r="S1" t="s">
        <v>136</v>
      </c>
      <c r="T1" t="s">
        <v>137</v>
      </c>
    </row>
    <row r="2" spans="1:20" x14ac:dyDescent="0.35">
      <c r="A2" t="s">
        <v>10</v>
      </c>
      <c r="B2" t="s">
        <v>124</v>
      </c>
      <c r="C2">
        <v>0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  <c r="J2">
        <v>2</v>
      </c>
      <c r="K2">
        <v>0</v>
      </c>
      <c r="L2">
        <v>2</v>
      </c>
      <c r="M2">
        <v>1</v>
      </c>
      <c r="N2">
        <v>3</v>
      </c>
      <c r="O2">
        <v>0</v>
      </c>
      <c r="P2">
        <v>0</v>
      </c>
      <c r="Q2">
        <v>0</v>
      </c>
      <c r="R2">
        <v>3</v>
      </c>
      <c r="S2">
        <v>3</v>
      </c>
      <c r="T2">
        <v>0</v>
      </c>
    </row>
    <row r="3" spans="1:20" x14ac:dyDescent="0.35">
      <c r="A3" t="s">
        <v>9</v>
      </c>
      <c r="B3" t="s">
        <v>123</v>
      </c>
      <c r="C3">
        <v>0</v>
      </c>
      <c r="D3">
        <v>0</v>
      </c>
      <c r="E3">
        <v>0</v>
      </c>
      <c r="F3">
        <v>2</v>
      </c>
      <c r="G3">
        <v>0</v>
      </c>
      <c r="H3">
        <v>0</v>
      </c>
      <c r="I3">
        <v>1</v>
      </c>
      <c r="J3">
        <v>3</v>
      </c>
      <c r="K3">
        <v>0</v>
      </c>
      <c r="L3">
        <v>1</v>
      </c>
      <c r="M3">
        <v>2</v>
      </c>
      <c r="N3">
        <v>2</v>
      </c>
      <c r="O3">
        <v>1</v>
      </c>
      <c r="P3">
        <v>1</v>
      </c>
      <c r="Q3">
        <v>0</v>
      </c>
      <c r="R3">
        <v>2</v>
      </c>
      <c r="S3">
        <v>0</v>
      </c>
      <c r="T3">
        <v>0</v>
      </c>
    </row>
    <row r="4" spans="1:20" x14ac:dyDescent="0.35">
      <c r="A4" t="s">
        <v>88</v>
      </c>
      <c r="B4" t="s">
        <v>142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3</v>
      </c>
      <c r="K4">
        <v>3</v>
      </c>
      <c r="L4">
        <v>0</v>
      </c>
      <c r="M4">
        <v>2</v>
      </c>
      <c r="N4">
        <v>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35">
      <c r="A5" t="s">
        <v>74</v>
      </c>
      <c r="B5" t="s">
        <v>119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</v>
      </c>
      <c r="K5">
        <v>1</v>
      </c>
      <c r="L5">
        <v>0</v>
      </c>
      <c r="M5">
        <v>1</v>
      </c>
      <c r="N5">
        <v>3</v>
      </c>
      <c r="O5">
        <v>2</v>
      </c>
      <c r="P5">
        <v>0</v>
      </c>
      <c r="Q5">
        <v>0</v>
      </c>
      <c r="R5">
        <v>1</v>
      </c>
      <c r="S5">
        <v>0</v>
      </c>
      <c r="T5">
        <v>0</v>
      </c>
    </row>
    <row r="6" spans="1:20" x14ac:dyDescent="0.35">
      <c r="A6" t="s">
        <v>5</v>
      </c>
      <c r="B6" t="s">
        <v>125</v>
      </c>
      <c r="C6">
        <v>0</v>
      </c>
      <c r="D6">
        <v>4</v>
      </c>
      <c r="E6">
        <v>0</v>
      </c>
      <c r="F6">
        <v>0</v>
      </c>
      <c r="G6">
        <v>0</v>
      </c>
      <c r="H6">
        <v>0</v>
      </c>
      <c r="I6">
        <v>1</v>
      </c>
      <c r="J6">
        <v>2</v>
      </c>
      <c r="K6">
        <v>0</v>
      </c>
      <c r="L6">
        <v>1</v>
      </c>
      <c r="M6">
        <v>1</v>
      </c>
      <c r="N6">
        <v>3</v>
      </c>
      <c r="O6">
        <v>0</v>
      </c>
      <c r="P6">
        <v>5</v>
      </c>
      <c r="Q6">
        <v>0</v>
      </c>
      <c r="R6">
        <v>0</v>
      </c>
      <c r="S6">
        <v>0</v>
      </c>
      <c r="T6">
        <v>0</v>
      </c>
    </row>
    <row r="7" spans="1:20" x14ac:dyDescent="0.35">
      <c r="A7" t="s">
        <v>76</v>
      </c>
      <c r="B7" t="s">
        <v>120</v>
      </c>
      <c r="C7">
        <v>0</v>
      </c>
      <c r="D7">
        <v>2</v>
      </c>
      <c r="E7">
        <v>0</v>
      </c>
      <c r="F7">
        <v>0</v>
      </c>
      <c r="G7">
        <v>0</v>
      </c>
      <c r="H7">
        <v>0</v>
      </c>
      <c r="I7">
        <v>0</v>
      </c>
      <c r="J7">
        <v>4</v>
      </c>
      <c r="K7">
        <v>0</v>
      </c>
      <c r="L7">
        <v>0</v>
      </c>
      <c r="M7">
        <v>1</v>
      </c>
      <c r="N7">
        <v>2</v>
      </c>
      <c r="O7">
        <v>0</v>
      </c>
      <c r="P7">
        <v>1</v>
      </c>
      <c r="Q7">
        <v>0</v>
      </c>
      <c r="R7">
        <v>0</v>
      </c>
      <c r="S7">
        <v>0</v>
      </c>
      <c r="T7">
        <v>3</v>
      </c>
    </row>
    <row r="8" spans="1:20" x14ac:dyDescent="0.35">
      <c r="A8" t="s">
        <v>82</v>
      </c>
      <c r="B8" t="s">
        <v>139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3</v>
      </c>
      <c r="K8">
        <v>0</v>
      </c>
      <c r="L8">
        <v>0</v>
      </c>
      <c r="M8">
        <v>2</v>
      </c>
      <c r="N8">
        <v>2</v>
      </c>
      <c r="O8">
        <v>1</v>
      </c>
      <c r="P8">
        <v>1</v>
      </c>
      <c r="Q8">
        <v>0</v>
      </c>
      <c r="R8">
        <v>0</v>
      </c>
      <c r="S8">
        <v>1</v>
      </c>
      <c r="T8">
        <v>0</v>
      </c>
    </row>
    <row r="9" spans="1:20" x14ac:dyDescent="0.35">
      <c r="A9" t="s">
        <v>92</v>
      </c>
      <c r="B9" t="s">
        <v>145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3</v>
      </c>
      <c r="K9">
        <v>0</v>
      </c>
      <c r="L9">
        <v>0</v>
      </c>
      <c r="M9">
        <v>2</v>
      </c>
      <c r="N9">
        <v>2</v>
      </c>
      <c r="O9">
        <v>2</v>
      </c>
      <c r="P9">
        <v>1</v>
      </c>
      <c r="Q9">
        <v>0</v>
      </c>
      <c r="R9">
        <v>0</v>
      </c>
      <c r="S9">
        <v>0</v>
      </c>
      <c r="T9">
        <v>0</v>
      </c>
    </row>
    <row r="10" spans="1:20" x14ac:dyDescent="0.35">
      <c r="A10" t="s">
        <v>90</v>
      </c>
      <c r="B10" t="s">
        <v>143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4</v>
      </c>
      <c r="K10">
        <v>1</v>
      </c>
      <c r="L10">
        <v>0</v>
      </c>
      <c r="M10">
        <v>2</v>
      </c>
      <c r="N10">
        <v>2</v>
      </c>
      <c r="O10">
        <v>1</v>
      </c>
      <c r="P10">
        <v>0</v>
      </c>
      <c r="Q10">
        <v>0</v>
      </c>
      <c r="R10">
        <v>1</v>
      </c>
      <c r="S10">
        <v>1</v>
      </c>
      <c r="T10">
        <v>0</v>
      </c>
    </row>
    <row r="11" spans="1:20" x14ac:dyDescent="0.35">
      <c r="A11" t="s">
        <v>80</v>
      </c>
      <c r="B11" t="s">
        <v>138</v>
      </c>
      <c r="C11">
        <v>1</v>
      </c>
      <c r="D11">
        <v>1</v>
      </c>
      <c r="E11">
        <v>0</v>
      </c>
      <c r="F11">
        <v>0</v>
      </c>
      <c r="G11">
        <v>1</v>
      </c>
      <c r="H11">
        <v>0</v>
      </c>
      <c r="I11">
        <v>1</v>
      </c>
      <c r="J11">
        <v>2</v>
      </c>
      <c r="K11">
        <v>2</v>
      </c>
      <c r="L11">
        <v>0</v>
      </c>
      <c r="M11">
        <v>2</v>
      </c>
      <c r="N11">
        <v>2</v>
      </c>
      <c r="O11">
        <v>0</v>
      </c>
      <c r="P11">
        <v>1</v>
      </c>
      <c r="Q11">
        <v>0</v>
      </c>
      <c r="R11">
        <v>0</v>
      </c>
      <c r="S11">
        <v>1</v>
      </c>
      <c r="T11">
        <v>0</v>
      </c>
    </row>
    <row r="12" spans="1:20" x14ac:dyDescent="0.35">
      <c r="A12" t="s">
        <v>78</v>
      </c>
      <c r="B12" t="s">
        <v>121</v>
      </c>
      <c r="C12">
        <v>0</v>
      </c>
      <c r="D12">
        <v>0</v>
      </c>
      <c r="E12">
        <v>0</v>
      </c>
      <c r="F12">
        <v>0</v>
      </c>
      <c r="G12">
        <v>2</v>
      </c>
      <c r="H12">
        <v>0</v>
      </c>
      <c r="I12">
        <v>0</v>
      </c>
      <c r="J12">
        <v>2</v>
      </c>
      <c r="K12">
        <v>0</v>
      </c>
      <c r="L12">
        <v>1</v>
      </c>
      <c r="M12">
        <v>1</v>
      </c>
      <c r="N12">
        <v>2</v>
      </c>
      <c r="O12">
        <v>0</v>
      </c>
      <c r="P12">
        <v>0</v>
      </c>
      <c r="Q12">
        <v>0</v>
      </c>
      <c r="R12">
        <v>0</v>
      </c>
      <c r="S12">
        <v>2</v>
      </c>
      <c r="T12">
        <v>0</v>
      </c>
    </row>
    <row r="13" spans="1:20" x14ac:dyDescent="0.35">
      <c r="A13" t="s">
        <v>86</v>
      </c>
      <c r="B13" t="s">
        <v>141</v>
      </c>
      <c r="C13">
        <v>2</v>
      </c>
      <c r="D13">
        <v>0</v>
      </c>
      <c r="E13">
        <v>0</v>
      </c>
      <c r="F13">
        <v>1</v>
      </c>
      <c r="G13">
        <v>0</v>
      </c>
      <c r="H13">
        <v>0</v>
      </c>
      <c r="I13">
        <v>1</v>
      </c>
      <c r="J13">
        <v>4</v>
      </c>
      <c r="K13">
        <v>2</v>
      </c>
      <c r="L13">
        <v>0</v>
      </c>
      <c r="M13">
        <v>2</v>
      </c>
      <c r="N13">
        <v>2</v>
      </c>
      <c r="O13">
        <v>2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35">
      <c r="A14" t="s">
        <v>84</v>
      </c>
      <c r="B14" t="s">
        <v>140</v>
      </c>
      <c r="C14">
        <v>1</v>
      </c>
      <c r="D14">
        <v>2</v>
      </c>
      <c r="E14">
        <v>0</v>
      </c>
      <c r="F14">
        <v>0</v>
      </c>
      <c r="G14">
        <v>0</v>
      </c>
      <c r="H14">
        <v>0</v>
      </c>
      <c r="I14">
        <v>1</v>
      </c>
      <c r="J14">
        <v>3</v>
      </c>
      <c r="K14">
        <v>2</v>
      </c>
      <c r="L14">
        <v>0</v>
      </c>
      <c r="M14">
        <v>2</v>
      </c>
      <c r="N14">
        <v>2</v>
      </c>
      <c r="O14">
        <v>1</v>
      </c>
      <c r="P14">
        <v>2</v>
      </c>
      <c r="Q14">
        <v>0</v>
      </c>
      <c r="R14">
        <v>0</v>
      </c>
      <c r="S14">
        <v>0</v>
      </c>
      <c r="T14">
        <v>0</v>
      </c>
    </row>
    <row r="15" spans="1:20" x14ac:dyDescent="0.35">
      <c r="A15" t="s">
        <v>95</v>
      </c>
      <c r="B15" t="s">
        <v>146</v>
      </c>
      <c r="C15">
        <v>1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4</v>
      </c>
      <c r="K15">
        <v>0</v>
      </c>
      <c r="L15">
        <v>1</v>
      </c>
      <c r="M15">
        <v>1</v>
      </c>
      <c r="N15">
        <v>2</v>
      </c>
      <c r="O15">
        <v>2</v>
      </c>
      <c r="P15">
        <v>0</v>
      </c>
      <c r="Q15">
        <v>0</v>
      </c>
      <c r="R15">
        <v>1</v>
      </c>
      <c r="S15">
        <v>0</v>
      </c>
      <c r="T15">
        <v>0</v>
      </c>
    </row>
    <row r="16" spans="1:20" x14ac:dyDescent="0.35">
      <c r="A16" t="s">
        <v>94</v>
      </c>
      <c r="B16" t="s">
        <v>144</v>
      </c>
      <c r="C16">
        <v>2</v>
      </c>
      <c r="D16">
        <v>0</v>
      </c>
      <c r="E16">
        <v>0</v>
      </c>
      <c r="F16">
        <v>2</v>
      </c>
      <c r="G16">
        <v>0</v>
      </c>
      <c r="H16">
        <v>0</v>
      </c>
      <c r="I16">
        <v>0</v>
      </c>
      <c r="J16">
        <v>4</v>
      </c>
      <c r="K16">
        <v>0</v>
      </c>
      <c r="L16">
        <v>0</v>
      </c>
      <c r="M16">
        <v>1</v>
      </c>
      <c r="N16">
        <v>3</v>
      </c>
      <c r="O16">
        <v>3</v>
      </c>
      <c r="P16">
        <v>0</v>
      </c>
      <c r="Q16">
        <v>0</v>
      </c>
      <c r="R16">
        <v>3</v>
      </c>
      <c r="S16">
        <v>2</v>
      </c>
      <c r="T16">
        <v>0</v>
      </c>
    </row>
    <row r="17" spans="1:20" x14ac:dyDescent="0.35">
      <c r="A17" t="s">
        <v>7</v>
      </c>
      <c r="B17" t="s">
        <v>122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2</v>
      </c>
      <c r="J17">
        <v>2</v>
      </c>
      <c r="K17">
        <v>0</v>
      </c>
      <c r="L17">
        <v>0</v>
      </c>
      <c r="M17">
        <v>3</v>
      </c>
      <c r="N17">
        <v>2</v>
      </c>
      <c r="O17">
        <v>0</v>
      </c>
      <c r="P17">
        <v>0</v>
      </c>
      <c r="Q17">
        <v>0</v>
      </c>
      <c r="R17">
        <v>3</v>
      </c>
      <c r="S17">
        <v>0</v>
      </c>
      <c r="T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Samples CODE</vt:lpstr>
      <vt:lpstr>ANALISI VOLATILI</vt:lpstr>
      <vt:lpstr>Piano Sperimentale</vt:lpstr>
      <vt:lpstr>HOT</vt:lpstr>
      <vt:lpstr>Foglio1</vt:lpstr>
      <vt:lpstr>Assaggi_HOT</vt:lpstr>
      <vt:lpstr>DataSet_HOT</vt:lpstr>
      <vt:lpstr>DataSet_HOT_NS</vt:lpstr>
      <vt:lpstr>Data_selected_HOT</vt:lpstr>
      <vt:lpstr>DataSet_HOT_S</vt:lpstr>
      <vt:lpstr>COLD</vt:lpstr>
      <vt:lpstr>Assaggi_COLD</vt:lpstr>
      <vt:lpstr>DataSet_COLD</vt:lpstr>
      <vt:lpstr>DataSet_COLD_NS</vt:lpstr>
      <vt:lpstr>DataSet_COLD_S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ROVELLI</dc:creator>
  <cp:lastModifiedBy>Davide ROVELLI</cp:lastModifiedBy>
  <dcterms:created xsi:type="dcterms:W3CDTF">2024-09-17T08:17:34Z</dcterms:created>
  <dcterms:modified xsi:type="dcterms:W3CDTF">2025-07-24T11:15:51Z</dcterms:modified>
</cp:coreProperties>
</file>